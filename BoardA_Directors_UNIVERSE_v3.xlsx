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IRECTORS" sheetId="2" state="visible" r:id="rId2"/>
    <sheet xmlns:r="http://schemas.openxmlformats.org/officeDocument/2006/relationships" name="UNIVERSE" sheetId="3" state="visible" r:id="rId3"/>
    <sheet xmlns:r="http://schemas.openxmlformats.org/officeDocument/2006/relationships" name="WORKMAN_POOL" sheetId="4" state="visible" r:id="rId4"/>
    <sheet xmlns:r="http://schemas.openxmlformats.org/officeDocument/2006/relationships" name="UP_AND_COMERS" sheetId="5" state="visible" r:id="rId5"/>
    <sheet xmlns:r="http://schemas.openxmlformats.org/officeDocument/2006/relationships" name="LISTS" sheetId="6" state="visible" r:id="rId6"/>
    <sheet xmlns:r="http://schemas.openxmlformats.org/officeDocument/2006/relationships" name="BUDGET_BAND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ACTOR_MATRIX" sheetId="9" state="visible" r:id="rId9"/>
    <sheet xmlns:r="http://schemas.openxmlformats.org/officeDocument/2006/relationships" name="PROJECTS_NEXT" sheetId="10" state="visible" r:id="rId10"/>
    <sheet xmlns:r="http://schemas.openxmlformats.org/officeDocument/2006/relationships" name="AVAILABILITY" sheetId="11" state="visible" r:id="rId11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F4E79"/>
      </patternFill>
    </fill>
    <fill>
      <patternFill patternType="solid">
        <fgColor rgb="000B6623"/>
      </patternFill>
    </fill>
    <fill>
      <patternFill patternType="solid">
        <fgColor rgb="004F81BD"/>
      </patternFill>
    </fill>
    <fill>
      <patternFill patternType="solid">
        <fgColor rgb="009BBB59"/>
      </patternFill>
    </fill>
    <fill>
      <patternFill patternType="solid">
        <fgColor rgb="007030A0"/>
      </patternFill>
    </fill>
    <fill>
      <patternFill patternType="solid">
        <fgColor rgb="00C0504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3" fillId="5" borderId="0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165" fontId="0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166" fontId="0" fillId="0" borderId="0" pivotButton="0" quotePrefix="0" xfId="0"/>
    <xf numFmtId="165" fontId="0" fillId="0" borderId="1" applyAlignment="1" pivotButton="0" quotePrefix="0" xfId="0">
      <alignment vertical="top" wrapText="1"/>
    </xf>
    <xf numFmtId="165" fontId="0" fillId="0" borderId="0" pivotButton="0" quotePrefix="0" xfId="0"/>
    <xf numFmtId="0" fontId="5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/>
  </cellStyles>
  <dxfs count="1">
    <dxf>
      <fill>
        <patternFill>
          <bgColor rgb="00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" customHeight="1">
      <c r="A1" s="1" t="inlineStr">
        <is>
          <t>Board A — Directors (Guber-style)</t>
        </is>
      </c>
    </row>
    <row r="2" ht="18" customHeight="1">
      <c r="A2" t="inlineStr">
        <is>
          <t>This workbook is a living “lay of the land” board for working directors: lane/scale/tonal DNA, track record, and near-term commitments.</t>
        </is>
      </c>
    </row>
    <row r="3" ht="18" customHeight="1"/>
    <row r="4" ht="18" customHeight="1">
      <c r="A4" s="2" t="inlineStr">
        <is>
          <t>How to use</t>
        </is>
      </c>
    </row>
    <row r="5" ht="18" customHeight="1">
      <c r="A5" s="3" t="inlineStr">
        <is>
          <t>1) Start in UNIVERSE to get the real lay of the land (400+ working directors). Filter by Tier/Lane/Scale.
2) Use DIRECTORS for deeper vetted profiles (your “Board A” shortlist).
3) PROJECTS_NEXT is a flat list of announced upcoming projects (use it to sanity-check availability).
4) ACTOR_MATRIX helps you map actor↔director repeat relationships.
5) DASHBOARD gives quick counts (DIRECTORS + UNIVERSE).</t>
        </is>
      </c>
    </row>
    <row r="6" ht="18" customHeight="1">
      <c r="A6" s="10" t="inlineStr">
        <is>
          <t>New fields (2026-01-29 update)
• Budget bands: use BudgetBandTypical (+ optional low/high) to bucket directors by the budget range they can credibly carry.
• Last-3 performance: Film1–Film3 columns capture the last 3 director credits with Domestic/International/Worldwide grosses (source: The Numbers). Populate TheNumbersURL first, then fill/refresh the numbers.
• AVAILABILITY sheet is a dedicated “pegboard” view to track current/next commitments + confidence.</t>
        </is>
      </c>
    </row>
    <row r="7" ht="18" customHeight="1">
      <c r="A7" s="2" t="inlineStr">
        <is>
          <t>Truth-seeking rules</t>
        </is>
      </c>
    </row>
    <row r="8" ht="18" customHeight="1">
      <c r="A8" s="3" t="inlineStr">
        <is>
          <t>• Every row should have at least 1–3 source links.
• Use 'Last Verified' to track staleness; refresh anything older than ~90 days.
• Treat availability as probabilistic (use AvailabilityConf).</t>
        </is>
      </c>
    </row>
    <row r="9" ht="18" customHeight="1"/>
    <row r="10" ht="18" customHeight="1">
      <c r="A10" s="2" t="inlineStr">
        <is>
          <t>Tier guide (editable)</t>
        </is>
      </c>
    </row>
    <row r="11" ht="18" customHeight="1">
      <c r="A11" s="3" t="inlineStr">
        <is>
          <t>T0 = global event / tentpole proven; T1 = bankable studio event; T2 = established studio/prestige/genre; T3 = workman (reliable hired-gun, lane-specific); T4 = indie/specialty; T5 = emerging/breakout.</t>
        </is>
      </c>
    </row>
    <row r="12" ht="18" customHeight="1"/>
    <row r="13" ht="18" customHeight="1">
      <c r="A13" s="2" t="inlineStr">
        <is>
          <t>Notes on sensitive fields</t>
        </is>
      </c>
    </row>
    <row r="14" ht="18" customHeight="1">
      <c r="A14" s="3" t="inlineStr">
        <is>
          <t>This version avoids rumor/hush-hush “politics” and only uses publicly reported info. Add internal intel in a separate private copy.</t>
        </is>
      </c>
    </row>
    <row r="15" ht="18" customHeight="1"/>
    <row r="16" ht="18" customHeight="1">
      <c r="A16" s="2" t="inlineStr">
        <is>
          <t>Last updated</t>
        </is>
      </c>
    </row>
    <row r="17" ht="18" customHeight="1">
      <c r="A17" s="3" t="inlineStr">
        <is>
          <t>2026-01-29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9.79999923706055" customWidth="1" min="3" max="3"/>
    <col width="43.40000152587891" customWidth="1" min="4" max="4"/>
    <col width="40.70000076293945" customWidth="1" min="5" max="5"/>
    <col width="12.80000019073486" customWidth="1" min="6" max="6"/>
    <col width="28" customWidth="1" min="7" max="7"/>
    <col width="38" customWidth="1" min="8" max="8"/>
    <col width="38.90000152587891" customWidth="1" min="9" max="9"/>
    <col width="12.80000019073486" customWidth="1" min="10" max="10"/>
    <col width="28.10000038146973" customWidth="1" min="11" max="11"/>
    <col width="20" customWidth="1" min="12" max="12"/>
    <col width="29" customWidth="1" min="13" max="13"/>
    <col width="52.40000152587891" customWidth="1" min="14" max="14"/>
    <col width="42.5" customWidth="1" min="15" max="15"/>
    <col width="39.79999923706055" customWidth="1" min="16" max="16"/>
    <col width="55" customWidth="1" min="17" max="17"/>
    <col width="16.39999961853027" customWidth="1" min="18" max="18"/>
    <col width="12" customWidth="1" min="19" max="19"/>
    <col width="38" customWidth="1" min="20" max="20"/>
    <col width="28" customWidth="1" min="21" max="21"/>
    <col width="28" customWidth="1" min="22" max="22"/>
    <col width="15" customWidth="1" min="23" max="23"/>
    <col width="12.80000019073486" customWidth="1" min="24" max="24"/>
    <col width="55" customWidth="1" min="25" max="25"/>
    <col width="55" customWidth="1" min="26" max="26"/>
    <col width="55" customWidth="1" min="27" max="27"/>
    <col width="35" customWidth="1" min="28" max="28"/>
    <col width="14" customWidth="1" min="29" max="29"/>
    <col width="24" customWidth="1" min="30" max="30"/>
    <col width="14" customWidth="1" min="31" max="31"/>
    <col width="16" customWidth="1" min="32" max="32"/>
    <col width="16" customWidth="1" min="33" max="33"/>
    <col width="16" customWidth="1" min="34" max="34"/>
    <col width="24" customWidth="1" min="35" max="35"/>
    <col width="14" customWidth="1" min="36" max="36"/>
    <col width="16" customWidth="1" min="37" max="37"/>
    <col width="16" customWidth="1" min="38" max="38"/>
    <col width="16" customWidth="1" min="39" max="39"/>
    <col width="24" customWidth="1" min="40" max="40"/>
    <col width="14" customWidth="1" min="41" max="41"/>
    <col width="16" customWidth="1" min="42" max="42"/>
    <col width="16" customWidth="1" min="43" max="43"/>
    <col width="16" customWidth="1" min="44" max="44"/>
    <col width="22" customWidth="1" min="45" max="45"/>
    <col width="16" customWidth="1" min="46" max="46"/>
    <col width="16" customWidth="1" min="47" max="47"/>
  </cols>
  <sheetData>
    <row r="1" ht="28" customHeight="1">
      <c r="A1" s="4" t="inlineStr">
        <is>
          <t>Director</t>
        </is>
      </c>
      <c r="B1" s="4" t="inlineStr">
        <is>
          <t>Tier</t>
        </is>
      </c>
      <c r="C1" s="4" t="inlineStr">
        <is>
          <t>CareerPhase</t>
        </is>
      </c>
      <c r="D1" s="4" t="inlineStr">
        <is>
          <t>PrimaryLane</t>
        </is>
      </c>
      <c r="E1" s="4" t="inlineStr">
        <is>
          <t>SecondaryLanes</t>
        </is>
      </c>
      <c r="F1" s="4" t="inlineStr">
        <is>
          <t>ScaleProven</t>
        </is>
      </c>
      <c r="G1" s="4" t="inlineStr">
        <is>
          <t>TonalDNA</t>
        </is>
      </c>
      <c r="H1" s="4" t="inlineStr">
        <is>
          <t>Last3Features</t>
        </is>
      </c>
      <c r="I1" s="4" t="inlineStr">
        <is>
          <t>LastFilm</t>
        </is>
      </c>
      <c r="J1" s="4" t="inlineStr">
        <is>
          <t>LastFilmYear</t>
        </is>
      </c>
      <c r="K1" s="4" t="inlineStr">
        <is>
          <t>LastFilmType</t>
        </is>
      </c>
      <c r="L1" s="4" t="inlineStr">
        <is>
          <t>LastFilmBudgetUSD</t>
        </is>
      </c>
      <c r="M1" s="4" t="inlineStr">
        <is>
          <t>LastFilmWWGrossUSD</t>
        </is>
      </c>
      <c r="N1" s="4" t="inlineStr">
        <is>
          <t>NextProject</t>
        </is>
      </c>
      <c r="O1" s="4" t="inlineStr">
        <is>
          <t>NextRelease</t>
        </is>
      </c>
      <c r="P1" s="4" t="inlineStr">
        <is>
          <t>NextStatus</t>
        </is>
      </c>
      <c r="Q1" s="4" t="inlineStr">
        <is>
          <t>Availability</t>
        </is>
      </c>
      <c r="R1" s="4" t="inlineStr">
        <is>
          <t>AvailabilityConf</t>
        </is>
      </c>
      <c r="S1" s="4" t="inlineStr">
        <is>
          <t>ActorMagnet</t>
        </is>
      </c>
      <c r="T1" s="4" t="inlineStr">
        <is>
          <t>RecentActors</t>
        </is>
      </c>
      <c r="U1" s="4" t="inlineStr">
        <is>
          <t>RepeatCollabs</t>
        </is>
      </c>
      <c r="V1" s="4" t="inlineStr">
        <is>
          <t>PackagingNotes</t>
        </is>
      </c>
      <c r="W1" s="4" t="inlineStr">
        <is>
          <t>OpsNotes</t>
        </is>
      </c>
      <c r="X1" s="4" t="inlineStr">
        <is>
          <t>LastVerified</t>
        </is>
      </c>
      <c r="Y1" s="4" t="inlineStr">
        <is>
          <t>Source1</t>
        </is>
      </c>
      <c r="Z1" s="4" t="inlineStr">
        <is>
          <t>Source2</t>
        </is>
      </c>
      <c r="AA1" s="4" t="inlineStr">
        <is>
          <t>Source3</t>
        </is>
      </c>
      <c r="AB1" s="11" t="inlineStr">
        <is>
          <t>TheNumbersURL</t>
        </is>
      </c>
      <c r="AC1" s="11" t="inlineStr">
        <is>
          <t>Last3_Source</t>
        </is>
      </c>
      <c r="AD1" s="11" t="inlineStr">
        <is>
          <t>Film1_Title</t>
        </is>
      </c>
      <c r="AE1" s="11" t="inlineStr">
        <is>
          <t>Film1_ReleaseDate</t>
        </is>
      </c>
      <c r="AF1" s="11" t="inlineStr">
        <is>
          <t>Film1_DomesticGrossUSD</t>
        </is>
      </c>
      <c r="AG1" s="11" t="inlineStr">
        <is>
          <t>Film1_IntlGrossUSD</t>
        </is>
      </c>
      <c r="AH1" s="11" t="inlineStr">
        <is>
          <t>Film1_WWGrossUSD</t>
        </is>
      </c>
      <c r="AI1" s="11" t="inlineStr">
        <is>
          <t>Film2_Title</t>
        </is>
      </c>
      <c r="AJ1" s="11" t="inlineStr">
        <is>
          <t>Film2_ReleaseDate</t>
        </is>
      </c>
      <c r="AK1" s="11" t="inlineStr">
        <is>
          <t>Film2_DomesticGrossUSD</t>
        </is>
      </c>
      <c r="AL1" s="11" t="inlineStr">
        <is>
          <t>Film2_IntlGrossUSD</t>
        </is>
      </c>
      <c r="AM1" s="11" t="inlineStr">
        <is>
          <t>Film2_WWGrossUSD</t>
        </is>
      </c>
      <c r="AN1" s="11" t="inlineStr">
        <is>
          <t>Film3_Title</t>
        </is>
      </c>
      <c r="AO1" s="11" t="inlineStr">
        <is>
          <t>Film3_ReleaseDate</t>
        </is>
      </c>
      <c r="AP1" s="11" t="inlineStr">
        <is>
          <t>Film3_DomesticGrossUSD</t>
        </is>
      </c>
      <c r="AQ1" s="11" t="inlineStr">
        <is>
          <t>Film3_IntlGrossUSD</t>
        </is>
      </c>
      <c r="AR1" s="11" t="inlineStr">
        <is>
          <t>Film3_WWGrossUSD</t>
        </is>
      </c>
      <c r="AS1" s="11" t="inlineStr">
        <is>
          <t>BudgetBandTypical</t>
        </is>
      </c>
      <c r="AT1" s="11" t="inlineStr">
        <is>
          <t>BudgetBandLowUSD</t>
        </is>
      </c>
      <c r="AU1" s="11" t="inlineStr">
        <is>
          <t>BudgetBandHighUSD</t>
        </is>
      </c>
    </row>
    <row r="2">
      <c r="A2" s="5" t="inlineStr">
        <is>
          <t>Christopher Nolan</t>
        </is>
      </c>
      <c r="B2" s="5" t="inlineStr">
        <is>
          <t>T0</t>
        </is>
      </c>
      <c r="C2" s="5" t="inlineStr">
        <is>
          <t>Peak (Event filmmaker)</t>
        </is>
      </c>
      <c r="D2" s="5" t="inlineStr">
        <is>
          <t>Epic drama / high-concept spectacle</t>
        </is>
      </c>
      <c r="E2" s="5" t="inlineStr">
        <is>
          <t>Historical, thriller</t>
        </is>
      </c>
      <c r="F2" s="5" t="inlineStr">
        <is>
          <t>$100M–$250M+</t>
        </is>
      </c>
      <c r="G2" s="5" t="inlineStr">
        <is>
          <t>Precision, IMAX spectacle, time/structure games</t>
        </is>
      </c>
      <c r="H2" s="5" t="inlineStr">
        <is>
          <t>Oppenheimer (2023); Tenet (2020); Dunkirk (2017)</t>
        </is>
      </c>
      <c r="I2" s="5" t="inlineStr">
        <is>
          <t>Oppenheimer</t>
        </is>
      </c>
      <c r="J2" s="5" t="n">
        <v>2023</v>
      </c>
      <c r="K2" s="5" t="inlineStr">
        <is>
          <t>Theatrical</t>
        </is>
      </c>
      <c r="L2" s="5" t="inlineStr">
        <is>
          <t>~$100M</t>
        </is>
      </c>
      <c r="M2" s="18" t="n">
        <v>976757255</v>
      </c>
      <c r="N2" s="5" t="inlineStr">
        <is>
          <t>The Odyssey</t>
        </is>
      </c>
      <c r="O2" s="5" t="inlineStr">
        <is>
          <t>Jul 17, 2026 (US theatrical)</t>
        </is>
      </c>
      <c r="P2" s="5" t="inlineStr">
        <is>
          <t>Post-production/announced release</t>
        </is>
      </c>
      <c r="Q2" s="5" t="inlineStr">
        <is>
          <t>Late 2026+ (post-release)</t>
        </is>
      </c>
      <c r="R2" s="5" t="inlineStr">
        <is>
          <t>Med</t>
        </is>
      </c>
      <c r="S2" s="5" t="n">
        <v>5</v>
      </c>
      <c r="T2" s="5" t="inlineStr">
        <is>
          <t>Cillian Murphy; Matt Damon; Emily Blunt; Robert Downey Jr.; Florence Pugh</t>
        </is>
      </c>
      <c r="U2" s="5" t="inlineStr">
        <is>
          <t>Emma Thomas (prod); Hoyte van Hoytema (DP); Ludwig Göransson (music)</t>
        </is>
      </c>
      <c r="V2" s="5" t="inlineStr">
        <is>
          <t>Can attract A-list and premium formats; schedule locked to July 2026 release.</t>
        </is>
      </c>
      <c r="W2" s="5" t="inlineStr">
        <is>
          <t>Long prep/post; prefers high control and specific formats.</t>
        </is>
      </c>
      <c r="X2" s="6" t="n">
        <v>46051</v>
      </c>
      <c r="Y2" s="5" t="inlineStr">
        <is>
          <t>https://en.wikipedia.org/wiki/Oppenheimer_(film)</t>
        </is>
      </c>
      <c r="Z2" s="5" t="inlineStr">
        <is>
          <t>https://en.wikipedia.org/wiki/The_Odyssey_(2026_film)</t>
        </is>
      </c>
      <c r="AA2" s="5" t="inlineStr"/>
      <c r="AB2" t="inlineStr">
        <is>
          <t>https://www.the-numbers.com/person/106410401-Christopher-Nolan</t>
        </is>
      </c>
      <c r="AC2" t="inlineStr">
        <is>
          <t>The Numbers</t>
        </is>
      </c>
      <c r="AD2" t="inlineStr">
        <is>
          <t>Oppenheimer</t>
        </is>
      </c>
      <c r="AE2" t="inlineStr">
        <is>
          <t>Jul 21, 2023</t>
        </is>
      </c>
      <c r="AF2" s="19" t="n">
        <v>330078895</v>
      </c>
      <c r="AG2" s="19" t="n">
        <v>646678360</v>
      </c>
      <c r="AH2" s="19" t="n">
        <v>976757255</v>
      </c>
      <c r="AI2" t="inlineStr">
        <is>
          <t>Tenet</t>
        </is>
      </c>
      <c r="AJ2" t="inlineStr">
        <is>
          <t>Sep 3, 2020</t>
        </is>
      </c>
      <c r="AK2" s="19" t="n">
        <v>59473550</v>
      </c>
      <c r="AL2" s="19" t="n">
        <v>306800000</v>
      </c>
      <c r="AM2" s="19" t="n">
        <v>366273550</v>
      </c>
      <c r="AN2" t="inlineStr">
        <is>
          <t>Dunkirk</t>
        </is>
      </c>
      <c r="AO2" t="inlineStr">
        <is>
          <t>Jul 21, 2017</t>
        </is>
      </c>
      <c r="AP2" s="19" t="n">
        <v>190068280</v>
      </c>
      <c r="AQ2" s="19" t="n">
        <v>338000000</v>
      </c>
      <c r="AR2" s="19" t="n">
        <v>528068280</v>
      </c>
      <c r="AT2" s="19">
        <f>IFERROR(VLOOKUP(AS2,BUDGET_BANDS!$A$2:$C$9,2,FALSE),"")</f>
        <v/>
      </c>
      <c r="AU2" s="19">
        <f>IFERROR(VLOOKUP(AS2,BUDGET_BANDS!$A$2:$C$9,3,FALSE),"")</f>
        <v/>
      </c>
    </row>
    <row r="3">
      <c r="A3" s="5" t="inlineStr">
        <is>
          <t>Denis Villeneuve</t>
        </is>
      </c>
      <c r="B3" s="5" t="inlineStr">
        <is>
          <t>T0</t>
        </is>
      </c>
      <c r="C3" s="5" t="inlineStr">
        <is>
          <t>Peak (Prestige + tentpole)</t>
        </is>
      </c>
      <c r="D3" s="5" t="inlineStr">
        <is>
          <t>Sci-fi / epic worldbuilding</t>
        </is>
      </c>
      <c r="E3" s="5" t="inlineStr">
        <is>
          <t>Thriller, drama</t>
        </is>
      </c>
      <c r="F3" s="5" t="inlineStr">
        <is>
          <t>$100M–$200M+</t>
        </is>
      </c>
      <c r="G3" s="5" t="inlineStr">
        <is>
          <t>Atmospheric, austere, grounded scale</t>
        </is>
      </c>
      <c r="H3" s="5" t="inlineStr">
        <is>
          <t>Dune: Part Two (2024); Dune (2021); Blade Runner 2049 (2017)</t>
        </is>
      </c>
      <c r="I3" s="5" t="inlineStr">
        <is>
          <t>Dune: Part Two</t>
        </is>
      </c>
      <c r="J3" s="5" t="n">
        <v>2024</v>
      </c>
      <c r="K3" s="5" t="inlineStr">
        <is>
          <t>Theatrical</t>
        </is>
      </c>
      <c r="L3" s="5" t="inlineStr">
        <is>
          <t>$190M</t>
        </is>
      </c>
      <c r="M3" s="18" t="n">
        <v>715206195</v>
      </c>
      <c r="N3" s="5" t="inlineStr">
        <is>
          <t>James Bond (next film) / Dune: Part Three</t>
        </is>
      </c>
      <c r="O3" s="5" t="inlineStr">
        <is>
          <t>Bond: TBA; Dune 3: Dec 18, 2026</t>
        </is>
      </c>
      <c r="P3" s="5" t="inlineStr">
        <is>
          <t>Announced / in development</t>
        </is>
      </c>
      <c r="Q3" s="5" t="inlineStr">
        <is>
          <t>Very limited 2025–2026 (Bond/Dune pipeline)</t>
        </is>
      </c>
      <c r="R3" s="5" t="inlineStr">
        <is>
          <t>Med</t>
        </is>
      </c>
      <c r="S3" s="5" t="n">
        <v>5</v>
      </c>
      <c r="T3" s="5" t="inlineStr">
        <is>
          <t>Timothée Chalamet; Zendaya; Rebecca Ferguson; Josh Brolin; Javier Bardem</t>
        </is>
      </c>
      <c r="U3" s="5" t="inlineStr">
        <is>
          <t>Greig Fraser (DP); Hans Zimmer (music, past); Legendary/WB (Dune)</t>
        </is>
      </c>
      <c r="V3" s="5" t="inlineStr">
        <is>
          <t>Bankable for elevated sci-fi/action; high studio alignment; schedule likely locked.</t>
        </is>
      </c>
      <c r="W3" s="5" t="inlineStr">
        <is>
          <t>Large-scale VFX and long post cycles common.</t>
        </is>
      </c>
      <c r="X3" s="6" t="n">
        <v>46051</v>
      </c>
      <c r="Y3" s="5" t="inlineStr">
        <is>
          <t>https://en.wikipedia.org/wiki/Dune:_Part_Two</t>
        </is>
      </c>
      <c r="Z3" s="5" t="inlineStr">
        <is>
          <t>https://deadline.com/2025/06/denis-villeneuve-direct-next-james-bond-film-1236444861/</t>
        </is>
      </c>
      <c r="AA3" s="5" t="inlineStr">
        <is>
          <t>https://en.wikipedia.org/wiki/Dune:_Part_Three</t>
        </is>
      </c>
      <c r="AB3" t="inlineStr">
        <is>
          <t>https://www.the-numbers.com/person/447440401-Denis-Villeneuve</t>
        </is>
      </c>
      <c r="AC3" t="inlineStr">
        <is>
          <t>The Numbers</t>
        </is>
      </c>
      <c r="AD3" t="inlineStr">
        <is>
          <t>Dune: Part Two</t>
        </is>
      </c>
      <c r="AE3" t="inlineStr">
        <is>
          <t>Mar 1, 2024</t>
        </is>
      </c>
      <c r="AF3" s="19" t="n">
        <v>282709065</v>
      </c>
      <c r="AG3" s="19" t="n">
        <v>432497130</v>
      </c>
      <c r="AH3" s="19" t="n">
        <v>715206195</v>
      </c>
      <c r="AI3" t="inlineStr">
        <is>
          <t>Dune</t>
        </is>
      </c>
      <c r="AJ3" t="inlineStr">
        <is>
          <t>Oct 22, 2021</t>
        </is>
      </c>
      <c r="AK3" s="19" t="n">
        <v>111031267</v>
      </c>
      <c r="AL3" s="19" t="n">
        <v>318518799</v>
      </c>
      <c r="AM3" s="19" t="n">
        <v>429550066</v>
      </c>
      <c r="AN3" t="inlineStr">
        <is>
          <t>Blade Runner 2049</t>
        </is>
      </c>
      <c r="AO3" t="inlineStr">
        <is>
          <t>Oct 6, 2017</t>
        </is>
      </c>
      <c r="AP3" s="19" t="n">
        <v>92054159</v>
      </c>
      <c r="AQ3" s="19" t="n">
        <v>167100000</v>
      </c>
      <c r="AR3" s="19" t="n">
        <v>259154159</v>
      </c>
      <c r="AT3" s="19">
        <f>IFERROR(VLOOKUP(AS3,BUDGET_BANDS!$A$2:$C$9,2,FALSE),"")</f>
        <v/>
      </c>
      <c r="AU3" s="19">
        <f>IFERROR(VLOOKUP(AS3,BUDGET_BANDS!$A$2:$C$9,3,FALSE),"")</f>
        <v/>
      </c>
    </row>
    <row r="4">
      <c r="A4" s="5" t="inlineStr">
        <is>
          <t>Greta Gerwig</t>
        </is>
      </c>
      <c r="B4" s="5" t="inlineStr">
        <is>
          <t>T0</t>
        </is>
      </c>
      <c r="C4" s="5" t="inlineStr">
        <is>
          <t>Peak (IP + auteur)</t>
        </is>
      </c>
      <c r="D4" s="5" t="inlineStr">
        <is>
          <t>Comedy/drama with strong voice; IP reinvention</t>
        </is>
      </c>
      <c r="E4" s="5" t="inlineStr">
        <is>
          <t>Fantasy</t>
        </is>
      </c>
      <c r="F4" s="5" t="inlineStr">
        <is>
          <t>$50M–$200M</t>
        </is>
      </c>
      <c r="G4" s="5" t="inlineStr">
        <is>
          <t>Character-forward, witty, empathetic</t>
        </is>
      </c>
      <c r="H4" s="5" t="inlineStr">
        <is>
          <t>Barbie (2023); Little Women (2019); Lady Bird (2017)</t>
        </is>
      </c>
      <c r="I4" s="5" t="inlineStr">
        <is>
          <t>Barbie</t>
        </is>
      </c>
      <c r="J4" s="5" t="n">
        <v>2023</v>
      </c>
      <c r="K4" s="5" t="inlineStr">
        <is>
          <t>Theatrical</t>
        </is>
      </c>
      <c r="L4" s="5" t="inlineStr">
        <is>
          <t>$128–145M</t>
        </is>
      </c>
      <c r="M4" s="18" t="n">
        <v>1447685476</v>
      </c>
      <c r="N4" s="5" t="inlineStr">
        <is>
          <t>Narnia: The Magician's Nephew</t>
        </is>
      </c>
      <c r="O4" s="5" t="inlineStr">
        <is>
          <t>Nov 26, 2026 (theatrical) / Dec 25 (Netflix)</t>
        </is>
      </c>
      <c r="P4" s="5" t="inlineStr">
        <is>
          <t>Announced / pre-production</t>
        </is>
      </c>
      <c r="Q4" s="5" t="inlineStr">
        <is>
          <t>Likely unavailable through 2026 (Narnia)</t>
        </is>
      </c>
      <c r="R4" s="5" t="inlineStr">
        <is>
          <t>Med</t>
        </is>
      </c>
      <c r="S4" s="5" t="n">
        <v>5</v>
      </c>
      <c r="T4" s="5" t="inlineStr">
        <is>
          <t>Margot Robbie; Ryan Gosling; America Ferrera; Emma Mackey; Daniel Craig</t>
        </is>
      </c>
      <c r="U4" s="5" t="inlineStr">
        <is>
          <t>Noah Baumbach (writing, past); Amy Pascal (prod, Narnia)</t>
        </is>
      </c>
      <c r="V4" s="5" t="inlineStr">
        <is>
          <t>Strong actor/brand magnet; lanes beyond comedy now include big fantasy.</t>
        </is>
      </c>
      <c r="W4" s="5" t="inlineStr">
        <is>
          <t>Likely high creative control; talent-heavy ensembles.</t>
        </is>
      </c>
      <c r="X4" s="6" t="n">
        <v>46051</v>
      </c>
      <c r="Y4" s="5" t="inlineStr">
        <is>
          <t>https://en.wikipedia.org/wiki/Barbie_(film)</t>
        </is>
      </c>
      <c r="Z4" s="5" t="inlineStr">
        <is>
          <t>https://en.wikipedia.org/wiki/Narnia:_The_Magician%27s_Nephew</t>
        </is>
      </c>
      <c r="AA4" s="5" t="inlineStr">
        <is>
          <t>https://www.netflix.com/tudum/articles/narnia-release-date</t>
        </is>
      </c>
      <c r="AB4" t="inlineStr">
        <is>
          <t>https://www.the-numbers.com/person/54050401-Greta-Gerwig</t>
        </is>
      </c>
      <c r="AC4" t="inlineStr">
        <is>
          <t>The Numbers</t>
        </is>
      </c>
      <c r="AD4" t="inlineStr">
        <is>
          <t>Barbie</t>
        </is>
      </c>
      <c r="AE4" t="inlineStr">
        <is>
          <t>Jul 21, 2023</t>
        </is>
      </c>
      <c r="AF4" s="19" t="n">
        <v>636785476</v>
      </c>
      <c r="AG4" s="19" t="n">
        <v>810900000</v>
      </c>
      <c r="AH4" s="19" t="n">
        <v>1447685476</v>
      </c>
      <c r="AI4" t="inlineStr">
        <is>
          <t>Little Women</t>
        </is>
      </c>
      <c r="AJ4" t="inlineStr">
        <is>
          <t>Dec 25, 2019</t>
        </is>
      </c>
      <c r="AK4" s="19" t="n">
        <v>108095955</v>
      </c>
      <c r="AL4" s="19" t="n">
        <v>110742431</v>
      </c>
      <c r="AM4" s="19" t="n">
        <v>218838386</v>
      </c>
      <c r="AN4" t="inlineStr">
        <is>
          <t>Lady Bird</t>
        </is>
      </c>
      <c r="AO4" t="inlineStr">
        <is>
          <t>Nov 3, 2017</t>
        </is>
      </c>
      <c r="AP4" s="19" t="n">
        <v>48958273</v>
      </c>
      <c r="AQ4" s="19" t="n">
        <v>31150209</v>
      </c>
      <c r="AR4" s="19" t="n">
        <v>80108482</v>
      </c>
      <c r="AT4" s="19">
        <f>IFERROR(VLOOKUP(AS4,BUDGET_BANDS!$A$2:$C$9,2,FALSE),"")</f>
        <v/>
      </c>
      <c r="AU4" s="19">
        <f>IFERROR(VLOOKUP(AS4,BUDGET_BANDS!$A$2:$C$9,3,FALSE),"")</f>
        <v/>
      </c>
    </row>
    <row r="5">
      <c r="A5" s="5" t="inlineStr">
        <is>
          <t>Ryan Coogler</t>
        </is>
      </c>
      <c r="B5" s="5" t="inlineStr">
        <is>
          <t>T1</t>
        </is>
      </c>
      <c r="C5" s="5" t="inlineStr">
        <is>
          <t>Peak (franchise + original)</t>
        </is>
      </c>
      <c r="D5" s="5" t="inlineStr">
        <is>
          <t>Event genre + grounded drama</t>
        </is>
      </c>
      <c r="E5" s="5" t="inlineStr">
        <is>
          <t>Action, horror</t>
        </is>
      </c>
      <c r="F5" s="5" t="inlineStr">
        <is>
          <t>$50M–$200M</t>
        </is>
      </c>
      <c r="G5" s="5" t="inlineStr">
        <is>
          <t>Emotional intensity, cultural specificity, spectacle</t>
        </is>
      </c>
      <c r="H5" s="5" t="inlineStr">
        <is>
          <t>Sinners (2025); Black Panther: Wakanda Forever (2022); Black Panther (2018)</t>
        </is>
      </c>
      <c r="I5" s="5" t="inlineStr">
        <is>
          <t>Sinners</t>
        </is>
      </c>
      <c r="J5" s="5" t="n">
        <v>2025</v>
      </c>
      <c r="K5" s="5" t="inlineStr">
        <is>
          <t>Theatrical</t>
        </is>
      </c>
      <c r="L5" s="5" t="inlineStr">
        <is>
          <t>$90–100M</t>
        </is>
      </c>
      <c r="M5" s="18" t="n">
        <v>368389491</v>
      </c>
      <c r="N5" s="5" t="inlineStr">
        <is>
          <t>Black Panther 3</t>
        </is>
      </c>
      <c r="O5" s="5" t="inlineStr">
        <is>
          <t>TBA</t>
        </is>
      </c>
      <c r="P5" s="5" t="inlineStr">
        <is>
          <t>Confirmed next film (announced)</t>
        </is>
      </c>
      <c r="Q5" s="5" t="inlineStr">
        <is>
          <t>Likely limited while BP3 ramps</t>
        </is>
      </c>
      <c r="R5" s="5" t="inlineStr">
        <is>
          <t>Med</t>
        </is>
      </c>
      <c r="S5" s="5" t="n">
        <v>5</v>
      </c>
      <c r="T5" s="5" t="inlineStr">
        <is>
          <t>Michael B. Jordan; Hailee Steinfeld; Delroy Lindo; Letitia Wright</t>
        </is>
      </c>
      <c r="U5" s="5" t="inlineStr">
        <is>
          <t>Ludwig Göransson (music); Proximity Media; Michael B. Jordan (frequent)</t>
        </is>
      </c>
      <c r="V5" s="5" t="inlineStr">
        <is>
          <t>Can package A-list and move studio financing; strong original credibility post-Sinners.</t>
        </is>
      </c>
      <c r="W5" s="5" t="inlineStr">
        <is>
          <t>Often multi-hyphen (writer/director/producer).</t>
        </is>
      </c>
      <c r="X5" s="6" t="n">
        <v>46051</v>
      </c>
      <c r="Y5" s="5" t="inlineStr">
        <is>
          <t>https://en.wikipedia.org/wiki/Sinners_(2025_film)</t>
        </is>
      </c>
      <c r="Z5" s="5" t="inlineStr">
        <is>
          <t>https://deadline.com/2025/11/ryan-coogler-black-panther-3-next-movie-1236618702/</t>
        </is>
      </c>
      <c r="AA5" s="5" t="inlineStr">
        <is>
          <t>https://www.the-numbers.com/movie/Sinners-%282025%29</t>
        </is>
      </c>
      <c r="AB5" t="inlineStr">
        <is>
          <t>https://www.the-numbers.com/person/339010401-Ryan-Coogler</t>
        </is>
      </c>
      <c r="AC5" t="inlineStr">
        <is>
          <t>The Numbers</t>
        </is>
      </c>
      <c r="AD5" t="inlineStr">
        <is>
          <t>Sinners</t>
        </is>
      </c>
      <c r="AE5" t="inlineStr">
        <is>
          <t>Apr 18, 2025</t>
        </is>
      </c>
      <c r="AF5" s="19" t="n">
        <v>279989632</v>
      </c>
      <c r="AG5" s="19" t="n">
        <v>88399859</v>
      </c>
      <c r="AH5" s="19" t="n">
        <v>368389491</v>
      </c>
      <c r="AI5" t="inlineStr">
        <is>
          <t>Black Panther: Wakanda Forever</t>
        </is>
      </c>
      <c r="AJ5" t="inlineStr">
        <is>
          <t>Nov 11, 2022</t>
        </is>
      </c>
      <c r="AK5" s="19" t="n">
        <v>453829060</v>
      </c>
      <c r="AL5" s="19" t="n">
        <v>405379776</v>
      </c>
      <c r="AM5" s="19" t="n">
        <v>859208836</v>
      </c>
      <c r="AN5" t="inlineStr">
        <is>
          <t>Black Panther</t>
        </is>
      </c>
      <c r="AO5" t="inlineStr">
        <is>
          <t>Feb 16, 2018</t>
        </is>
      </c>
      <c r="AP5" s="19" t="n">
        <v>700059566</v>
      </c>
      <c r="AQ5" s="19" t="n">
        <v>634097516</v>
      </c>
      <c r="AR5" s="19" t="n">
        <v>1334157082</v>
      </c>
      <c r="AT5" s="19">
        <f>IFERROR(VLOOKUP(AS5,BUDGET_BANDS!$A$2:$C$9,2,FALSE),"")</f>
        <v/>
      </c>
      <c r="AU5" s="19">
        <f>IFERROR(VLOOKUP(AS5,BUDGET_BANDS!$A$2:$C$9,3,FALSE),"")</f>
        <v/>
      </c>
    </row>
    <row r="6">
      <c r="A6" s="5" t="inlineStr">
        <is>
          <t>James Gunn</t>
        </is>
      </c>
      <c r="B6" s="5" t="inlineStr">
        <is>
          <t>T0</t>
        </is>
      </c>
      <c r="C6" s="5" t="inlineStr">
        <is>
          <t>Peak (franchise architect + director)</t>
        </is>
      </c>
      <c r="D6" s="5" t="inlineStr">
        <is>
          <t>Superhero / big ensemble action-comedy</t>
        </is>
      </c>
      <c r="E6" s="5" t="inlineStr">
        <is>
          <t>Genre comedy</t>
        </is>
      </c>
      <c r="F6" s="5" t="inlineStr">
        <is>
          <t>$150M–$225M+</t>
        </is>
      </c>
      <c r="G6" s="5" t="inlineStr">
        <is>
          <t>Heart + humor, weirdness, ensemble dynamics</t>
        </is>
      </c>
      <c r="H6" s="5" t="inlineStr">
        <is>
          <t>Superman (2025); Guardians of the Galaxy Vol 3 (2023); The Suicide Squad (2021)</t>
        </is>
      </c>
      <c r="I6" s="5" t="inlineStr">
        <is>
          <t>Superman</t>
        </is>
      </c>
      <c r="J6" s="5" t="n">
        <v>2025</v>
      </c>
      <c r="K6" s="5" t="inlineStr">
        <is>
          <t>Theatrical</t>
        </is>
      </c>
      <c r="L6" s="5" t="inlineStr">
        <is>
          <t>$225M</t>
        </is>
      </c>
      <c r="M6" s="18" t="n">
        <v>616823803</v>
      </c>
      <c r="N6" s="5" t="inlineStr">
        <is>
          <t>Man of Tomorrow (Super-Family follow-up)</t>
        </is>
      </c>
      <c r="O6" s="5" t="inlineStr">
        <is>
          <t>2027 (announced); shoots ~Apr 2026 (reported)</t>
        </is>
      </c>
      <c r="P6" s="5" t="inlineStr">
        <is>
          <t>Announced / in development</t>
        </is>
      </c>
      <c r="Q6" s="5" t="inlineStr">
        <is>
          <t>Not available (DCU duties + 2026 shoot)</t>
        </is>
      </c>
      <c r="R6" s="5" t="inlineStr">
        <is>
          <t>High</t>
        </is>
      </c>
      <c r="S6" s="5" t="n">
        <v>5</v>
      </c>
      <c r="T6" s="5" t="inlineStr">
        <is>
          <t>David Corenswet; Rachel Brosnahan; Nicholas Hoult; Jason Momoa (DCU)</t>
        </is>
      </c>
      <c r="U6" s="5" t="inlineStr">
        <is>
          <t>Peter Safran (prod); DC Studios slate</t>
        </is>
      </c>
      <c r="V6" s="5" t="inlineStr">
        <is>
          <t>Extremely strong studio leverage; schedule largely committed.</t>
        </is>
      </c>
      <c r="W6" s="5" t="inlineStr">
        <is>
          <t>Runs studio + directs—availability is the bottleneck.</t>
        </is>
      </c>
      <c r="X6" s="6" t="n">
        <v>46051</v>
      </c>
      <c r="Y6" s="5" t="inlineStr">
        <is>
          <t>https://en.wikipedia.org/wiki/Superman_(2025_film)</t>
        </is>
      </c>
      <c r="Z6" s="5" t="inlineStr">
        <is>
          <t>https://variety.com/2025/film/news/superman-sequel-man-of-tomorrow-lex-luthor-team-up-1236514155/</t>
        </is>
      </c>
      <c r="AA6" s="5" t="inlineStr">
        <is>
          <t>https://www.hollywoodreporter.com/movies/movie-news/superman-man-of-tomorrow-sequel-plot-filming-start-1236367993/</t>
        </is>
      </c>
      <c r="AB6" t="inlineStr">
        <is>
          <t>https://www.the-numbers.com/person/59460401-James-Gunn</t>
        </is>
      </c>
      <c r="AC6" t="inlineStr">
        <is>
          <t>The Numbers</t>
        </is>
      </c>
      <c r="AD6" t="inlineStr">
        <is>
          <t>Superman</t>
        </is>
      </c>
      <c r="AE6" t="inlineStr">
        <is>
          <t>Jul 11, 2025</t>
        </is>
      </c>
      <c r="AF6" s="19" t="n">
        <v>354223803</v>
      </c>
      <c r="AG6" s="19" t="n">
        <v>262600000</v>
      </c>
      <c r="AH6" s="19" t="n">
        <v>616823803</v>
      </c>
      <c r="AI6" t="inlineStr">
        <is>
          <t>Guardians of the Galaxy Vol 3</t>
        </is>
      </c>
      <c r="AJ6" t="inlineStr">
        <is>
          <t>May 5, 2023</t>
        </is>
      </c>
      <c r="AK6" s="19" t="n">
        <v>358995815</v>
      </c>
      <c r="AL6" s="19" t="n">
        <v>486559962</v>
      </c>
      <c r="AM6" s="19" t="n">
        <v>845555777</v>
      </c>
      <c r="AN6" t="inlineStr">
        <is>
          <t>The Suicide Squad</t>
        </is>
      </c>
      <c r="AO6" t="inlineStr">
        <is>
          <t>Aug 5, 2021</t>
        </is>
      </c>
      <c r="AP6" s="19" t="n">
        <v>55817425</v>
      </c>
      <c r="AQ6" s="19" t="n">
        <v>112900000</v>
      </c>
      <c r="AR6" s="19" t="n">
        <v>168717425</v>
      </c>
      <c r="AT6" s="19">
        <f>IFERROR(VLOOKUP(AS6,BUDGET_BANDS!$A$2:$C$9,2,FALSE),"")</f>
        <v/>
      </c>
      <c r="AU6" s="19">
        <f>IFERROR(VLOOKUP(AS6,BUDGET_BANDS!$A$2:$C$9,3,FALSE),"")</f>
        <v/>
      </c>
    </row>
    <row r="7">
      <c r="A7" s="5" t="inlineStr">
        <is>
          <t>Matt Reeves</t>
        </is>
      </c>
      <c r="B7" s="5" t="inlineStr">
        <is>
          <t>T0</t>
        </is>
      </c>
      <c r="C7" s="5" t="inlineStr">
        <is>
          <t>Peak (franchise + auteur)</t>
        </is>
      </c>
      <c r="D7" s="5" t="inlineStr">
        <is>
          <t>Dark franchise thriller</t>
        </is>
      </c>
      <c r="E7" s="5" t="inlineStr">
        <is>
          <t>Sci-fi, drama</t>
        </is>
      </c>
      <c r="F7" s="5" t="inlineStr">
        <is>
          <t>$100M–$200M</t>
        </is>
      </c>
      <c r="G7" s="5" t="inlineStr">
        <is>
          <t>Noir mood, grounded intensity</t>
        </is>
      </c>
      <c r="H7" s="5" t="inlineStr">
        <is>
          <t>The Batman (2022); War for the Planet of the Apes (2017); Dawn of the Planet of the Apes (2014)</t>
        </is>
      </c>
      <c r="I7" s="5" t="inlineStr">
        <is>
          <t>The Batman</t>
        </is>
      </c>
      <c r="J7" s="5" t="n">
        <v>2022</v>
      </c>
      <c r="K7" s="5" t="inlineStr">
        <is>
          <t>Theatrical</t>
        </is>
      </c>
      <c r="L7" s="5" t="inlineStr">
        <is>
          <t>~$185–200M</t>
        </is>
      </c>
      <c r="M7" s="5" t="inlineStr">
        <is>
          <t>$772.3M</t>
        </is>
      </c>
      <c r="N7" s="5" t="inlineStr">
        <is>
          <t>The Batman: Part II</t>
        </is>
      </c>
      <c r="O7" s="5" t="inlineStr">
        <is>
          <t>Oct 1, 2027</t>
        </is>
      </c>
      <c r="P7" s="5" t="inlineStr">
        <is>
          <t>Announced; filming spring 2026 (reported)</t>
        </is>
      </c>
      <c r="Q7" s="5" t="inlineStr">
        <is>
          <t>Limited (prep/production 2026)</t>
        </is>
      </c>
      <c r="R7" s="5" t="inlineStr">
        <is>
          <t>High</t>
        </is>
      </c>
      <c r="S7" s="5" t="n">
        <v>4</v>
      </c>
      <c r="T7" s="5" t="inlineStr">
        <is>
          <t>Robert Pattinson; Zoë Kravitz; Paul Dano; Colin Farrell</t>
        </is>
      </c>
      <c r="U7" s="5" t="inlineStr">
        <is>
          <t>Dylan Clark (prod); WB/DC</t>
        </is>
      </c>
      <c r="V7" s="5" t="inlineStr">
        <is>
          <t>Strong tonal franchise; likely unavailable through production.</t>
        </is>
      </c>
      <c r="W7" s="5" t="inlineStr">
        <is>
          <t>Long dev cycles; careful worldbuilding.</t>
        </is>
      </c>
      <c r="X7" s="6" t="n">
        <v>46051</v>
      </c>
      <c r="Y7" s="5" t="inlineStr">
        <is>
          <t>https://en.wikipedia.org/wiki/The_Batman_(film)</t>
        </is>
      </c>
      <c r="Z7" s="5" t="inlineStr">
        <is>
          <t>https://variety.com/2025/film/news/the-batman-2-filming-spring-2026-1236481330/</t>
        </is>
      </c>
      <c r="AA7" s="5" t="inlineStr">
        <is>
          <t>https://www.imdb.com/title/tt19850008/</t>
        </is>
      </c>
      <c r="AT7" s="19">
        <f>IFERROR(VLOOKUP(AS7,BUDGET_BANDS!$A$2:$C$9,2,FALSE),"")</f>
        <v/>
      </c>
      <c r="AU7" s="19">
        <f>IFERROR(VLOOKUP(AS7,BUDGET_BANDS!$A$2:$C$9,3,FALSE),"")</f>
        <v/>
      </c>
    </row>
    <row r="8">
      <c r="A8" s="5" t="inlineStr">
        <is>
          <t>Christopher McQuarrie</t>
        </is>
      </c>
      <c r="B8" s="5" t="inlineStr">
        <is>
          <t>T1</t>
        </is>
      </c>
      <c r="C8" s="5" t="inlineStr">
        <is>
          <t>Peak (action specialist)</t>
        </is>
      </c>
      <c r="D8" s="5" t="inlineStr">
        <is>
          <t>High-end action / spy</t>
        </is>
      </c>
      <c r="E8" s="5" t="inlineStr">
        <is>
          <t>Thriller</t>
        </is>
      </c>
      <c r="F8" s="5" t="inlineStr">
        <is>
          <t>$150M–$400M</t>
        </is>
      </c>
      <c r="G8" s="5" t="inlineStr">
        <is>
          <t>Practical stunt spectacle, precision pacing</t>
        </is>
      </c>
      <c r="H8" s="5" t="inlineStr">
        <is>
          <t>Mission: Impossible – The Final Reckoning (2025); Dead Reckoning (2023); Fallout (2018)</t>
        </is>
      </c>
      <c r="I8" s="5" t="inlineStr">
        <is>
          <t>Mission: Impossible – The Final Reckoning</t>
        </is>
      </c>
      <c r="J8" s="5" t="n">
        <v>2025</v>
      </c>
      <c r="K8" s="5" t="inlineStr">
        <is>
          <t>Theatrical</t>
        </is>
      </c>
      <c r="L8" s="5" t="inlineStr">
        <is>
          <t>$300–400M</t>
        </is>
      </c>
      <c r="M8" s="5" t="inlineStr">
        <is>
          <t>$598.8M</t>
        </is>
      </c>
      <c r="N8" s="5" t="inlineStr">
        <is>
          <t>(TBA) likely action package(s)</t>
        </is>
      </c>
      <c r="O8" s="5" t="inlineStr"/>
      <c r="P8" s="5" t="inlineStr">
        <is>
          <t>TBD</t>
        </is>
      </c>
      <c r="Q8" s="5" t="inlineStr">
        <is>
          <t>Unknown / likely selective</t>
        </is>
      </c>
      <c r="R8" s="5" t="inlineStr">
        <is>
          <t>Low</t>
        </is>
      </c>
      <c r="S8" s="5" t="n">
        <v>4</v>
      </c>
      <c r="T8" s="5" t="inlineStr">
        <is>
          <t>Tom Cruise; Hayley Atwell; Simon Pegg; Ving Rhames</t>
        </is>
      </c>
      <c r="U8" s="5" t="inlineStr">
        <is>
          <t>Tom Cruise (prod/star); Skydance/Paramount (MI)</t>
        </is>
      </c>
      <c r="V8" s="5" t="inlineStr">
        <is>
          <t>Elite action credibility; availability depends on next Cruise/Paramount commitments.</t>
        </is>
      </c>
      <c r="W8" s="5" t="inlineStr">
        <is>
          <t>Complex stunts can extend schedules.</t>
        </is>
      </c>
      <c r="X8" s="6" t="n">
        <v>46051</v>
      </c>
      <c r="Y8" s="5" t="inlineStr">
        <is>
          <t>https://en.wikipedia.org/wiki/Mission:_Impossible_%E2%80%93_The_Final_Reckoning</t>
        </is>
      </c>
      <c r="Z8" s="5" t="inlineStr"/>
      <c r="AA8" s="5" t="inlineStr"/>
      <c r="AT8" s="19">
        <f>IFERROR(VLOOKUP(AS8,BUDGET_BANDS!$A$2:$C$9,2,FALSE),"")</f>
        <v/>
      </c>
      <c r="AU8" s="19">
        <f>IFERROR(VLOOKUP(AS8,BUDGET_BANDS!$A$2:$C$9,3,FALSE),"")</f>
        <v/>
      </c>
    </row>
    <row r="9">
      <c r="A9" s="5" t="inlineStr">
        <is>
          <t>Chad Stahelski</t>
        </is>
      </c>
      <c r="B9" s="5" t="inlineStr">
        <is>
          <t>T1</t>
        </is>
      </c>
      <c r="C9" s="5" t="inlineStr">
        <is>
          <t>Peak (action franchise builder)</t>
        </is>
      </c>
      <c r="D9" s="5" t="inlineStr">
        <is>
          <t>Action (stunt-driven)</t>
        </is>
      </c>
      <c r="E9" s="5" t="inlineStr">
        <is>
          <t>Thriller</t>
        </is>
      </c>
      <c r="F9" s="5" t="inlineStr">
        <is>
          <t>$50M–$120M+</t>
        </is>
      </c>
      <c r="G9" s="5" t="inlineStr">
        <is>
          <t>Choreography-forward, clean mythic action</t>
        </is>
      </c>
      <c r="H9" s="5" t="inlineStr">
        <is>
          <t>John Wick: Chapter 4 (2023); John Wick: Chapter 3 (2019); John Wick: Chapter 2 (2017)</t>
        </is>
      </c>
      <c r="I9" s="5" t="inlineStr">
        <is>
          <t>John Wick: Chapter 4</t>
        </is>
      </c>
      <c r="J9" s="5" t="n">
        <v>2023</v>
      </c>
      <c r="K9" s="5" t="inlineStr">
        <is>
          <t>Theatrical</t>
        </is>
      </c>
      <c r="L9" s="5" t="inlineStr">
        <is>
          <t>$100M</t>
        </is>
      </c>
      <c r="M9" s="5" t="inlineStr">
        <is>
          <t>$447.3M</t>
        </is>
      </c>
      <c r="N9" s="5" t="inlineStr">
        <is>
          <t>Highlander</t>
        </is>
      </c>
      <c r="O9" s="5" t="inlineStr">
        <is>
          <t>TBA</t>
        </is>
      </c>
      <c r="P9" s="5" t="inlineStr">
        <is>
          <t>Announced / in development</t>
        </is>
      </c>
      <c r="Q9" s="5" t="inlineStr">
        <is>
          <t>Limited (development for Highlander; possible JW commitments)</t>
        </is>
      </c>
      <c r="R9" s="5" t="inlineStr">
        <is>
          <t>Med</t>
        </is>
      </c>
      <c r="S9" s="5" t="n">
        <v>3</v>
      </c>
      <c r="T9" s="5" t="inlineStr">
        <is>
          <t>Keanu Reeves; Bill Skarsgård; Donnie Yen; Henry Cavill (Highlander announced cast)</t>
        </is>
      </c>
      <c r="U9" s="5" t="inlineStr">
        <is>
          <t>87Eleven; Lionsgate (Wick)</t>
        </is>
      </c>
      <c r="V9" s="5" t="inlineStr">
        <is>
          <t>Great for action lane matching; tends toward long prep for choreography.</t>
        </is>
      </c>
      <c r="W9" s="5" t="inlineStr">
        <is>
          <t>Action-heavy prep, stunt safety, extended unit work.</t>
        </is>
      </c>
      <c r="X9" s="6" t="n">
        <v>46051</v>
      </c>
      <c r="Y9" s="5" t="inlineStr">
        <is>
          <t>https://en.wikipedia.org/wiki/John_Wick:_Chapter_4</t>
        </is>
      </c>
      <c r="Z9" s="5" t="inlineStr">
        <is>
          <t>https://en.wikipedia.org/wiki/Highlander_(upcoming_film)</t>
        </is>
      </c>
      <c r="AA9" s="5" t="inlineStr">
        <is>
          <t>https://variety.com/2025/film/news/highlander-first-look-henry-cavill-1236295260/</t>
        </is>
      </c>
      <c r="AT9" s="19">
        <f>IFERROR(VLOOKUP(AS9,BUDGET_BANDS!$A$2:$C$9,2,FALSE),"")</f>
        <v/>
      </c>
      <c r="AU9" s="19">
        <f>IFERROR(VLOOKUP(AS9,BUDGET_BANDS!$A$2:$C$9,3,FALSE),"")</f>
        <v/>
      </c>
    </row>
    <row r="10">
      <c r="A10" s="5" t="inlineStr">
        <is>
          <t>David Leitch</t>
        </is>
      </c>
      <c r="B10" s="5" t="inlineStr">
        <is>
          <t>T1</t>
        </is>
      </c>
      <c r="C10" s="5" t="inlineStr">
        <is>
          <t>Hot (studio action-comedy)</t>
        </is>
      </c>
      <c r="D10" s="5" t="inlineStr">
        <is>
          <t>Action-comedy</t>
        </is>
      </c>
      <c r="E10" s="5" t="inlineStr">
        <is>
          <t>Thriller</t>
        </is>
      </c>
      <c r="F10" s="5" t="inlineStr">
        <is>
          <t>$80M–$150M</t>
        </is>
      </c>
      <c r="G10" s="5" t="inlineStr">
        <is>
          <t>Stunts + humor, pop energy</t>
        </is>
      </c>
      <c r="H10" s="5" t="inlineStr">
        <is>
          <t>The Fall Guy (2024); Bullet Train (2022); Hobbs &amp; Shaw (2019)</t>
        </is>
      </c>
      <c r="I10" s="5" t="inlineStr">
        <is>
          <t>The Fall Guy</t>
        </is>
      </c>
      <c r="J10" s="5" t="n">
        <v>2024</v>
      </c>
      <c r="K10" s="5" t="inlineStr">
        <is>
          <t>Theatrical</t>
        </is>
      </c>
      <c r="L10" s="5" t="inlineStr">
        <is>
          <t>$125–150M</t>
        </is>
      </c>
      <c r="M10" s="5" t="inlineStr">
        <is>
          <t>$181M</t>
        </is>
      </c>
      <c r="N10" s="5" t="inlineStr">
        <is>
          <t>How to Rob a Bank</t>
        </is>
      </c>
      <c r="O10" s="5" t="inlineStr">
        <is>
          <t>2026 (announced)</t>
        </is>
      </c>
      <c r="P10" s="5" t="inlineStr">
        <is>
          <t>In development</t>
        </is>
      </c>
      <c r="Q10" s="5" t="inlineStr">
        <is>
          <t>Maybe late 2026 (depending on schedule)</t>
        </is>
      </c>
      <c r="R10" s="5" t="inlineStr">
        <is>
          <t>Low</t>
        </is>
      </c>
      <c r="S10" s="5" t="n">
        <v>4</v>
      </c>
      <c r="T10" s="5" t="inlineStr">
        <is>
          <t>Ryan Gosling; Emily Blunt; Brad Pitt (past); Aaron Taylor-Johnson</t>
        </is>
      </c>
      <c r="U10" s="5" t="inlineStr">
        <is>
          <t>Kelly McCormick (prod); 87North</t>
        </is>
      </c>
      <c r="V10" s="5" t="inlineStr">
        <is>
          <t>Good for action+comedy scripts; can attract major stars.</t>
        </is>
      </c>
      <c r="W10" s="5" t="inlineStr">
        <is>
          <t>High stunt needs; can run parallel units.</t>
        </is>
      </c>
      <c r="X10" s="6" t="n">
        <v>46051</v>
      </c>
      <c r="Y10" s="5" t="inlineStr">
        <is>
          <t>https://en.wikipedia.org/wiki/The_Fall_Guy_(2024_film)</t>
        </is>
      </c>
      <c r="Z10" s="5" t="inlineStr">
        <is>
          <t>https://en.wikipedia.org/wiki/How_to_Rob_a_Bank_(film)</t>
        </is>
      </c>
      <c r="AA10" s="5" t="inlineStr"/>
      <c r="AT10" s="19">
        <f>IFERROR(VLOOKUP(AS10,BUDGET_BANDS!$A$2:$C$9,2,FALSE),"")</f>
        <v/>
      </c>
      <c r="AU10" s="19">
        <f>IFERROR(VLOOKUP(AS10,BUDGET_BANDS!$A$2:$C$9,3,FALSE),"")</f>
        <v/>
      </c>
    </row>
    <row r="11">
      <c r="A11" s="5" t="inlineStr">
        <is>
          <t>Joseph Kosinski</t>
        </is>
      </c>
      <c r="B11" s="5" t="inlineStr">
        <is>
          <t>T1</t>
        </is>
      </c>
      <c r="C11" s="5" t="inlineStr">
        <is>
          <t>Hot (premium commercial)</t>
        </is>
      </c>
      <c r="D11" s="5" t="inlineStr">
        <is>
          <t>High-end commercial spectacle</t>
        </is>
      </c>
      <c r="E11" s="5" t="inlineStr">
        <is>
          <t>Sci-fi</t>
        </is>
      </c>
      <c r="F11" s="5" t="inlineStr">
        <is>
          <t>$150M–$300M</t>
        </is>
      </c>
      <c r="G11" s="5" t="inlineStr">
        <is>
          <t>Sleek realism, technical setpieces</t>
        </is>
      </c>
      <c r="H11" s="5" t="inlineStr">
        <is>
          <t>F1 (2025); Top Gun: Maverick (2022); Oblivion (2013)</t>
        </is>
      </c>
      <c r="I11" s="5" t="inlineStr">
        <is>
          <t>F1 (F1: The Movie)</t>
        </is>
      </c>
      <c r="J11" s="5" t="n">
        <v>2025</v>
      </c>
      <c r="K11" s="5" t="inlineStr">
        <is>
          <t>Theatrical</t>
        </is>
      </c>
      <c r="L11" s="5" t="inlineStr">
        <is>
          <t>$200–300M</t>
        </is>
      </c>
      <c r="M11" s="5" t="inlineStr">
        <is>
          <t>$631.5M</t>
        </is>
      </c>
      <c r="N11" s="5" t="inlineStr">
        <is>
          <t>Untitled UFO conspiracy thriller (Apple)</t>
        </is>
      </c>
      <c r="O11" s="5" t="inlineStr">
        <is>
          <t>TBA</t>
        </is>
      </c>
      <c r="P11" s="5" t="inlineStr">
        <is>
          <t>Package landed at Apple (announced)</t>
        </is>
      </c>
      <c r="Q11" s="5" t="inlineStr">
        <is>
          <t>Unknown (development)</t>
        </is>
      </c>
      <c r="R11" s="5" t="inlineStr">
        <is>
          <t>Low</t>
        </is>
      </c>
      <c r="S11" s="5" t="n">
        <v>4</v>
      </c>
      <c r="T11" s="5" t="inlineStr">
        <is>
          <t>Brad Pitt; Javier Bardem; Damson Idris; Kerry Condon</t>
        </is>
      </c>
      <c r="U11" s="5" t="inlineStr">
        <is>
          <t>Jerry Bruckheimer (prod); Apple Original Films</t>
        </is>
      </c>
      <c r="V11" s="5" t="inlineStr">
        <is>
          <t>Strong for big-scale thrills; tends to require technical prep.</t>
        </is>
      </c>
      <c r="W11" s="5" t="inlineStr">
        <is>
          <t>Complex production logistics; premium format pipelines.</t>
        </is>
      </c>
      <c r="X11" s="6" t="n">
        <v>46051</v>
      </c>
      <c r="Y11" s="5" t="inlineStr">
        <is>
          <t>https://en.wikipedia.org/wiki/F1_(film)</t>
        </is>
      </c>
      <c r="Z11" s="5" t="inlineStr">
        <is>
          <t>https://deadline.com/2025/03/apple-joseph-kosinski-jerry-bruckheimer-1236347695/</t>
        </is>
      </c>
      <c r="AA11" s="5" t="inlineStr">
        <is>
          <t>https://www.the-numbers.com/movie/F1-The-Movie-%282025%29</t>
        </is>
      </c>
      <c r="AT11" s="19">
        <f>IFERROR(VLOOKUP(AS11,BUDGET_BANDS!$A$2:$C$9,2,FALSE),"")</f>
        <v/>
      </c>
      <c r="AU11" s="19">
        <f>IFERROR(VLOOKUP(AS11,BUDGET_BANDS!$A$2:$C$9,3,FALSE),"")</f>
        <v/>
      </c>
    </row>
    <row r="12">
      <c r="A12" s="5" t="inlineStr">
        <is>
          <t>Jordan Peele</t>
        </is>
      </c>
      <c r="B12" s="5" t="inlineStr">
        <is>
          <t>T1</t>
        </is>
      </c>
      <c r="C12" s="5" t="inlineStr">
        <is>
          <t>Selective (event horror auteur)</t>
        </is>
      </c>
      <c r="D12" s="5" t="inlineStr">
        <is>
          <t>Social horror / thriller</t>
        </is>
      </c>
      <c r="E12" s="5" t="inlineStr">
        <is>
          <t>Sci-fi</t>
        </is>
      </c>
      <c r="F12" s="5" t="inlineStr">
        <is>
          <t>$10M–$70M</t>
        </is>
      </c>
      <c r="G12" s="5" t="inlineStr">
        <is>
          <t>High concept, uneasy humor, thematic metaphor</t>
        </is>
      </c>
      <c r="H12" s="5" t="inlineStr">
        <is>
          <t>Nope (2022); Us (2019); Get Out (2017)</t>
        </is>
      </c>
      <c r="I12" s="5" t="inlineStr">
        <is>
          <t>Nope</t>
        </is>
      </c>
      <c r="J12" s="5" t="n">
        <v>2022</v>
      </c>
      <c r="K12" s="5" t="inlineStr">
        <is>
          <t>Theatrical</t>
        </is>
      </c>
      <c r="L12" s="5" t="inlineStr">
        <is>
          <t>$68M</t>
        </is>
      </c>
      <c r="M12" s="5" t="inlineStr">
        <is>
          <t>$171.1M</t>
        </is>
      </c>
      <c r="N12" s="5" t="inlineStr">
        <is>
          <t>Untitled next feature (Universal) – release date removed</t>
        </is>
      </c>
      <c r="O12" s="5" t="inlineStr">
        <is>
          <t>TBA</t>
        </is>
      </c>
      <c r="P12" s="5" t="inlineStr">
        <is>
          <t>In development</t>
        </is>
      </c>
      <c r="Q12" s="5" t="inlineStr">
        <is>
          <t>Unknown; not locked to a public date</t>
        </is>
      </c>
      <c r="R12" s="5" t="inlineStr">
        <is>
          <t>Low</t>
        </is>
      </c>
      <c r="S12" s="5" t="n">
        <v>4</v>
      </c>
      <c r="T12" s="5" t="inlineStr">
        <is>
          <t>Daniel Kaluuya; Keke Palmer; Steven Yeun</t>
        </is>
      </c>
      <c r="U12" s="5" t="inlineStr">
        <is>
          <t>Monkeypaw Productions; Michael Abels (music)</t>
        </is>
      </c>
      <c r="V12" s="5" t="inlineStr">
        <is>
          <t>High-value attachment for horror/thriller; scarcity increases leverage.</t>
        </is>
      </c>
      <c r="W12" s="5" t="inlineStr">
        <is>
          <t>Typically original scripts with secrecy; controlled info flow.</t>
        </is>
      </c>
      <c r="X12" s="6" t="n">
        <v>46051</v>
      </c>
      <c r="Y12" s="5" t="inlineStr">
        <is>
          <t>https://en.wikipedia.org/wiki/Nope_(film)</t>
        </is>
      </c>
      <c r="Z12" s="5" t="inlineStr">
        <is>
          <t>https://variety.com/2025/film/news/jordan-peele-new-movie-removed-2026-release-date-1236505383/</t>
        </is>
      </c>
      <c r="AA12" s="5" t="inlineStr"/>
      <c r="AT12" s="19">
        <f>IFERROR(VLOOKUP(AS12,BUDGET_BANDS!$A$2:$C$9,2,FALSE),"")</f>
        <v/>
      </c>
      <c r="AU12" s="19">
        <f>IFERROR(VLOOKUP(AS12,BUDGET_BANDS!$A$2:$C$9,3,FALSE),"")</f>
        <v/>
      </c>
    </row>
    <row r="13">
      <c r="A13" s="5" t="inlineStr">
        <is>
          <t>James Wan</t>
        </is>
      </c>
      <c r="B13" s="5" t="inlineStr">
        <is>
          <t>T1</t>
        </is>
      </c>
      <c r="C13" s="5" t="inlineStr">
        <is>
          <t>Established (franchise horror + superhero)</t>
        </is>
      </c>
      <c r="D13" s="5" t="inlineStr">
        <is>
          <t>Horror / supernatural</t>
        </is>
      </c>
      <c r="E13" s="5" t="inlineStr">
        <is>
          <t>Superhero action</t>
        </is>
      </c>
      <c r="F13" s="5" t="inlineStr">
        <is>
          <t>$20M–$215M</t>
        </is>
      </c>
      <c r="G13" s="5" t="inlineStr">
        <is>
          <t>Tension craft, genre mechanics</t>
        </is>
      </c>
      <c r="H13" s="5" t="inlineStr">
        <is>
          <t>Aquaman and the Lost Kingdom (2023); Malignant (2021); Aquaman (2018)</t>
        </is>
      </c>
      <c r="I13" s="5" t="inlineStr">
        <is>
          <t>Aquaman and the Lost Kingdom</t>
        </is>
      </c>
      <c r="J13" s="5" t="n">
        <v>2023</v>
      </c>
      <c r="K13" s="5" t="inlineStr">
        <is>
          <t>Theatrical</t>
        </is>
      </c>
      <c r="L13" s="5" t="inlineStr">
        <is>
          <t>$205–215M</t>
        </is>
      </c>
      <c r="M13" s="18" t="n">
        <v>440181226</v>
      </c>
      <c r="N13" s="5" t="inlineStr">
        <is>
          <t>TBD (producer-heavy slate)</t>
        </is>
      </c>
      <c r="O13" s="5" t="inlineStr"/>
      <c r="P13" s="5" t="inlineStr">
        <is>
          <t>TBD</t>
        </is>
      </c>
      <c r="Q13" s="5" t="inlineStr">
        <is>
          <t>Unknown</t>
        </is>
      </c>
      <c r="R13" s="5" t="inlineStr">
        <is>
          <t>Low</t>
        </is>
      </c>
      <c r="S13" s="5" t="n">
        <v>3</v>
      </c>
      <c r="T13" s="5" t="inlineStr">
        <is>
          <t>Jason Momoa; Patrick Wilson; Yahya Abdul-Mateen II; Nicole Kidman</t>
        </is>
      </c>
      <c r="U13" s="5" t="inlineStr">
        <is>
          <t>Atomic Monster; Peter Safran (past DC); horror franchises</t>
        </is>
      </c>
      <c r="V13" s="5" t="inlineStr">
        <is>
          <t>Strong for horror lane; director availability uncertain.</t>
        </is>
      </c>
      <c r="W13" s="5" t="inlineStr">
        <is>
          <t>Often producing multiple projects concurrently.</t>
        </is>
      </c>
      <c r="X13" s="6" t="n">
        <v>46051</v>
      </c>
      <c r="Y13" s="5" t="inlineStr">
        <is>
          <t>https://en.wikipedia.org/wiki/Aquaman_and_the_Lost_Kingdom</t>
        </is>
      </c>
      <c r="Z13" s="5" t="inlineStr"/>
      <c r="AA13" s="5" t="inlineStr"/>
      <c r="AB13" t="inlineStr">
        <is>
          <t>https://www.the-numbers.com/person/148690401-James-Wan</t>
        </is>
      </c>
      <c r="AC13" t="inlineStr">
        <is>
          <t>The Numbers</t>
        </is>
      </c>
      <c r="AD13" t="inlineStr">
        <is>
          <t>Aquaman and the Lost Kingdom</t>
        </is>
      </c>
      <c r="AE13" t="inlineStr">
        <is>
          <t>Dec 22, 2023</t>
        </is>
      </c>
      <c r="AF13" s="19" t="n">
        <v>124481226</v>
      </c>
      <c r="AG13" s="19" t="n">
        <v>315700000</v>
      </c>
      <c r="AH13" s="19" t="n">
        <v>440181226</v>
      </c>
      <c r="AI13" t="inlineStr">
        <is>
          <t>Malignant</t>
        </is>
      </c>
      <c r="AJ13" t="inlineStr">
        <is>
          <t>Sep 10, 2021</t>
        </is>
      </c>
      <c r="AK13" s="19" t="n">
        <v>13391791</v>
      </c>
      <c r="AL13" s="19" t="n">
        <v>21500000</v>
      </c>
      <c r="AM13" s="19" t="n">
        <v>34891791</v>
      </c>
      <c r="AN13" t="inlineStr">
        <is>
          <t>Aquaman</t>
        </is>
      </c>
      <c r="AO13" t="inlineStr">
        <is>
          <t>Dec 21, 2018</t>
        </is>
      </c>
      <c r="AP13" s="19" t="n">
        <v>335061807</v>
      </c>
      <c r="AQ13" s="19" t="n">
        <v>813800000</v>
      </c>
      <c r="AR13" s="19" t="n">
        <v>1148861807</v>
      </c>
      <c r="AT13" s="19">
        <f>IFERROR(VLOOKUP(AS13,BUDGET_BANDS!$A$2:$C$9,2,FALSE),"")</f>
        <v/>
      </c>
      <c r="AU13" s="19">
        <f>IFERROR(VLOOKUP(AS13,BUDGET_BANDS!$A$2:$C$9,3,FALSE),"")</f>
        <v/>
      </c>
    </row>
    <row r="14">
      <c r="A14" s="5" t="inlineStr">
        <is>
          <t>Ari Aster</t>
        </is>
      </c>
      <c r="B14" s="5" t="inlineStr">
        <is>
          <t>T2</t>
        </is>
      </c>
      <c r="C14" s="5" t="inlineStr">
        <is>
          <t>Hot (auteur to studio)</t>
        </is>
      </c>
      <c r="D14" s="5" t="inlineStr">
        <is>
          <t>Elevated horror</t>
        </is>
      </c>
      <c r="E14" s="5" t="inlineStr">
        <is>
          <t>Dark comedy, drama</t>
        </is>
      </c>
      <c r="F14" s="5" t="inlineStr">
        <is>
          <t>$10M–$60M</t>
        </is>
      </c>
      <c r="G14" s="5" t="inlineStr">
        <is>
          <t>Anxiety, dread, surreal humor</t>
        </is>
      </c>
      <c r="H14" s="5" t="inlineStr">
        <is>
          <t>Eddington (2025); Beau Is Afraid (2023); Midsommar (2019)</t>
        </is>
      </c>
      <c r="I14" s="5" t="inlineStr">
        <is>
          <t>Eddington</t>
        </is>
      </c>
      <c r="J14" s="5" t="n">
        <v>2025</v>
      </c>
      <c r="K14" s="5" t="inlineStr">
        <is>
          <t>Theatrical (limited)</t>
        </is>
      </c>
      <c r="L14" s="5" t="inlineStr">
        <is>
          <t>$30–35M</t>
        </is>
      </c>
      <c r="M14" s="5" t="inlineStr">
        <is>
          <t>$13.7M</t>
        </is>
      </c>
      <c r="N14" s="5" t="inlineStr">
        <is>
          <t>TBA</t>
        </is>
      </c>
      <c r="O14" s="5" t="inlineStr"/>
      <c r="P14" s="5" t="inlineStr">
        <is>
          <t>TBD</t>
        </is>
      </c>
      <c r="Q14" s="5" t="inlineStr">
        <is>
          <t>Unknown</t>
        </is>
      </c>
      <c r="R14" s="5" t="inlineStr">
        <is>
          <t>Low</t>
        </is>
      </c>
      <c r="S14" s="5" t="n">
        <v>4</v>
      </c>
      <c r="T14" s="5" t="inlineStr">
        <is>
          <t>Joaquin Phoenix; Pedro Pascal; Emma Stone; Austin Butler</t>
        </is>
      </c>
      <c r="U14" s="5" t="inlineStr">
        <is>
          <t>A24 (past); Square Peg (prod)</t>
        </is>
      </c>
      <c r="V14" s="5" t="inlineStr">
        <is>
          <t>Strong tone setter; actor interest high but commercially variable.</t>
        </is>
      </c>
      <c r="W14" s="5" t="inlineStr">
        <is>
          <t>Can push into longer shoots for complex tone work.</t>
        </is>
      </c>
      <c r="X14" s="6" t="n">
        <v>46051</v>
      </c>
      <c r="Y14" s="5" t="inlineStr">
        <is>
          <t>https://en.wikipedia.org/wiki/Eddington_(film)</t>
        </is>
      </c>
      <c r="Z14" s="5" t="inlineStr"/>
      <c r="AA14" s="5" t="inlineStr"/>
      <c r="AT14" s="19">
        <f>IFERROR(VLOOKUP(AS14,BUDGET_BANDS!$A$2:$C$9,2,FALSE),"")</f>
        <v/>
      </c>
      <c r="AU14" s="19">
        <f>IFERROR(VLOOKUP(AS14,BUDGET_BANDS!$A$2:$C$9,3,FALSE),"")</f>
        <v/>
      </c>
    </row>
    <row r="15">
      <c r="A15" s="5" t="inlineStr">
        <is>
          <t>Robert Eggers</t>
        </is>
      </c>
      <c r="B15" s="5" t="inlineStr">
        <is>
          <t>T2</t>
        </is>
      </c>
      <c r="C15" s="5" t="inlineStr">
        <is>
          <t>Hot (prestige horror)</t>
        </is>
      </c>
      <c r="D15" s="5" t="inlineStr">
        <is>
          <t>Period horror</t>
        </is>
      </c>
      <c r="E15" s="5" t="inlineStr">
        <is>
          <t>Mythic drama</t>
        </is>
      </c>
      <c r="F15" s="5" t="inlineStr">
        <is>
          <t>$10M–$60M</t>
        </is>
      </c>
      <c r="G15" s="5" t="inlineStr">
        <is>
          <t>Period authenticity, gothic atmosphere</t>
        </is>
      </c>
      <c r="H15" s="5" t="inlineStr">
        <is>
          <t>Nosferatu (2024); The Northman (2022); The Lighthouse (2019)</t>
        </is>
      </c>
      <c r="I15" s="5" t="inlineStr">
        <is>
          <t>Nosferatu</t>
        </is>
      </c>
      <c r="J15" s="5" t="n">
        <v>2024</v>
      </c>
      <c r="K15" s="5" t="inlineStr">
        <is>
          <t>Theatrical</t>
        </is>
      </c>
      <c r="L15" s="5" t="inlineStr">
        <is>
          <t>$50M</t>
        </is>
      </c>
      <c r="M15" s="5" t="inlineStr">
        <is>
          <t>$181.8M</t>
        </is>
      </c>
      <c r="N15" s="5" t="inlineStr">
        <is>
          <t>Werwulf</t>
        </is>
      </c>
      <c r="O15" s="5" t="inlineStr">
        <is>
          <t>Dec 25, 2026</t>
        </is>
      </c>
      <c r="P15" s="5" t="inlineStr">
        <is>
          <t>Announced</t>
        </is>
      </c>
      <c r="Q15" s="5" t="inlineStr">
        <is>
          <t>Limited through 2026 (Werwulf)</t>
        </is>
      </c>
      <c r="R15" s="5" t="inlineStr">
        <is>
          <t>Med</t>
        </is>
      </c>
      <c r="S15" s="5" t="n">
        <v>3</v>
      </c>
      <c r="T15" s="5" t="inlineStr">
        <is>
          <t>Bill Skarsgård; Nicholas Hoult; Lily-Rose Depp; Willem Dafoe; Aaron Taylor-Johnson</t>
        </is>
      </c>
      <c r="U15" s="5" t="inlineStr">
        <is>
          <t>Jarin Blaschke (DP); Willem Dafoe (repeat)</t>
        </is>
      </c>
      <c r="V15" s="5" t="inlineStr">
        <is>
          <t>Great for period/horror; reliable for lane match.</t>
        </is>
      </c>
      <c r="W15" s="5" t="inlineStr">
        <is>
          <t>Period builds/costumes; specialized dialect work.</t>
        </is>
      </c>
      <c r="X15" s="6" t="n">
        <v>46051</v>
      </c>
      <c r="Y15" s="5" t="inlineStr">
        <is>
          <t>https://en.wikipedia.org/wiki/Nosferatu_(2024_film)</t>
        </is>
      </c>
      <c r="Z15" s="5" t="inlineStr">
        <is>
          <t>https://en.wikipedia.org/wiki/Werwulf</t>
        </is>
      </c>
      <c r="AA15" s="5" t="inlineStr"/>
      <c r="AT15" s="19">
        <f>IFERROR(VLOOKUP(AS15,BUDGET_BANDS!$A$2:$C$9,2,FALSE),"")</f>
        <v/>
      </c>
      <c r="AU15" s="19">
        <f>IFERROR(VLOOKUP(AS15,BUDGET_BANDS!$A$2:$C$9,3,FALSE),"")</f>
        <v/>
      </c>
    </row>
    <row r="16">
      <c r="A16" s="5" t="inlineStr">
        <is>
          <t>Yorgos Lanthimos</t>
        </is>
      </c>
      <c r="B16" s="5" t="inlineStr">
        <is>
          <t>T2</t>
        </is>
      </c>
      <c r="C16" s="5" t="inlineStr">
        <is>
          <t>Peak (prestige + stars)</t>
        </is>
      </c>
      <c r="D16" s="5" t="inlineStr">
        <is>
          <t>Dark comedy / prestige drama</t>
        </is>
      </c>
      <c r="E16" s="5" t="inlineStr">
        <is>
          <t>Thriller</t>
        </is>
      </c>
      <c r="F16" s="5" t="inlineStr">
        <is>
          <t>$20M–$60M</t>
        </is>
      </c>
      <c r="G16" s="5" t="inlineStr">
        <is>
          <t>Absurdist, deadpan, stylized</t>
        </is>
      </c>
      <c r="H16" s="5" t="inlineStr">
        <is>
          <t>Bugonia (2025); Poor Things (2023); The Favourite (2018)</t>
        </is>
      </c>
      <c r="I16" s="5" t="inlineStr">
        <is>
          <t>Bugonia</t>
        </is>
      </c>
      <c r="J16" s="5" t="n">
        <v>2025</v>
      </c>
      <c r="K16" s="5" t="inlineStr">
        <is>
          <t>Theatrical</t>
        </is>
      </c>
      <c r="L16" s="5" t="inlineStr">
        <is>
          <t>$45–55M</t>
        </is>
      </c>
      <c r="M16" s="5" t="inlineStr">
        <is>
          <t>$41.6M</t>
        </is>
      </c>
      <c r="N16" s="5" t="inlineStr">
        <is>
          <t>TBA</t>
        </is>
      </c>
      <c r="O16" s="5" t="inlineStr"/>
      <c r="P16" s="5" t="inlineStr">
        <is>
          <t>TBD</t>
        </is>
      </c>
      <c r="Q16" s="5" t="inlineStr">
        <is>
          <t>Unknown</t>
        </is>
      </c>
      <c r="R16" s="5" t="inlineStr">
        <is>
          <t>Low</t>
        </is>
      </c>
      <c r="S16" s="5" t="n">
        <v>4</v>
      </c>
      <c r="T16" s="5" t="inlineStr">
        <is>
          <t>Emma Stone; Jesse Plemons; Mark Ruffalo; Willem Dafoe</t>
        </is>
      </c>
      <c r="U16" s="5" t="inlineStr">
        <is>
          <t>Emma Stone (repeat); Robbie Ryan (DP); Element Pictures</t>
        </is>
      </c>
      <c r="V16" s="5" t="inlineStr">
        <is>
          <t>Star-friendly prestige lane; unique tone can polarize.</t>
        </is>
      </c>
      <c r="W16" s="5" t="inlineStr">
        <is>
          <t>Stylized performance requirements.</t>
        </is>
      </c>
      <c r="X16" s="6" t="n">
        <v>46051</v>
      </c>
      <c r="Y16" s="5" t="inlineStr">
        <is>
          <t>https://en.wikipedia.org/wiki/Bugonia_(film)</t>
        </is>
      </c>
      <c r="Z16" s="5" t="inlineStr">
        <is>
          <t>https://en.wikipedia.org/wiki/Poor_Things_(film)</t>
        </is>
      </c>
      <c r="AA16" s="5" t="inlineStr"/>
      <c r="AT16" s="19">
        <f>IFERROR(VLOOKUP(AS16,BUDGET_BANDS!$A$2:$C$9,2,FALSE),"")</f>
        <v/>
      </c>
      <c r="AU16" s="19">
        <f>IFERROR(VLOOKUP(AS16,BUDGET_BANDS!$A$2:$C$9,3,FALSE),"")</f>
        <v/>
      </c>
    </row>
    <row r="17">
      <c r="A17" s="5" t="inlineStr">
        <is>
          <t>Damien Chazelle</t>
        </is>
      </c>
      <c r="B17" s="5" t="inlineStr">
        <is>
          <t>T2</t>
        </is>
      </c>
      <c r="C17" s="5" t="inlineStr">
        <is>
          <t>Rebuild/next swing</t>
        </is>
      </c>
      <c r="D17" s="5" t="inlineStr">
        <is>
          <t>Music/artist drama</t>
        </is>
      </c>
      <c r="E17" s="5" t="inlineStr">
        <is>
          <t>Period, thriller</t>
        </is>
      </c>
      <c r="F17" s="5" t="inlineStr">
        <is>
          <t>$20M–$80M</t>
        </is>
      </c>
      <c r="G17" s="5" t="inlineStr">
        <is>
          <t>Kinetic, romantic, big setpieces</t>
        </is>
      </c>
      <c r="H17" s="5" t="inlineStr">
        <is>
          <t>Babylon (2022); First Man (2018); La La Land (2016)</t>
        </is>
      </c>
      <c r="I17" s="5" t="inlineStr">
        <is>
          <t>Babylon</t>
        </is>
      </c>
      <c r="J17" s="5" t="n">
        <v>2022</v>
      </c>
      <c r="K17" s="5" t="inlineStr">
        <is>
          <t>Theatrical</t>
        </is>
      </c>
      <c r="L17" s="5" t="inlineStr">
        <is>
          <t>$78–80M</t>
        </is>
      </c>
      <c r="M17" s="5" t="inlineStr">
        <is>
          <t>$64.9M</t>
        </is>
      </c>
      <c r="N17" s="5" t="inlineStr">
        <is>
          <t>Untitled prison drama (Craig/Murphy/Williams)</t>
        </is>
      </c>
      <c r="O17" s="5" t="inlineStr">
        <is>
          <t>TBA</t>
        </is>
      </c>
      <c r="P17" s="5" t="inlineStr">
        <is>
          <t>In development (cast announced)</t>
        </is>
      </c>
      <c r="Q17" s="5" t="inlineStr">
        <is>
          <t>Limited once in production</t>
        </is>
      </c>
      <c r="R17" s="5" t="inlineStr">
        <is>
          <t>Med</t>
        </is>
      </c>
      <c r="S17" s="5" t="n">
        <v>4</v>
      </c>
      <c r="T17" s="5" t="inlineStr">
        <is>
          <t>Brad Pitt; Margot Robbie; Daniel Craig; Cillian Murphy; Michelle Williams</t>
        </is>
      </c>
      <c r="U17" s="5" t="inlineStr">
        <is>
          <t>Justin Hurwitz (music); Linus Sandgren (DP, past)</t>
        </is>
      </c>
      <c r="V17" s="5" t="inlineStr">
        <is>
          <t>Talent magnet; recent box-office miss makes lane/scale choice important.</t>
        </is>
      </c>
      <c r="W17" s="5" t="inlineStr">
        <is>
          <t>Ambitious setpieces can drive cost.</t>
        </is>
      </c>
      <c r="X17" s="6" t="n">
        <v>46051</v>
      </c>
      <c r="Y17" s="5" t="inlineStr">
        <is>
          <t>https://en.wikipedia.org/wiki/Babylon_(2022_film)</t>
        </is>
      </c>
      <c r="Z17" s="5" t="inlineStr">
        <is>
          <t>https://variety.com/2026/film/news/michelle-williams-joins-daniel-craig-cillian-murphy-damien-chazelle-movie-1236630331/</t>
        </is>
      </c>
      <c r="AA17" s="5" t="inlineStr"/>
      <c r="AT17" s="19">
        <f>IFERROR(VLOOKUP(AS17,BUDGET_BANDS!$A$2:$C$9,2,FALSE),"")</f>
        <v/>
      </c>
      <c r="AU17" s="19">
        <f>IFERROR(VLOOKUP(AS17,BUDGET_BANDS!$A$2:$C$9,3,FALSE),"")</f>
        <v/>
      </c>
    </row>
    <row r="18">
      <c r="A18" s="5" t="inlineStr">
        <is>
          <t>Rian Johnson</t>
        </is>
      </c>
      <c r="B18" s="5" t="inlineStr">
        <is>
          <t>T1</t>
        </is>
      </c>
      <c r="C18" s="5" t="inlineStr">
        <is>
          <t>Established (franchise + original)</t>
        </is>
      </c>
      <c r="D18" s="5" t="inlineStr">
        <is>
          <t>Mystery / thriller</t>
        </is>
      </c>
      <c r="E18" s="5" t="inlineStr">
        <is>
          <t>Sci-fi</t>
        </is>
      </c>
      <c r="F18" s="5" t="inlineStr">
        <is>
          <t>$40M–$150M</t>
        </is>
      </c>
      <c r="G18" s="5" t="inlineStr">
        <is>
          <t>Playful whodunnit mechanics, twisty</t>
        </is>
      </c>
      <c r="H18" s="5" t="inlineStr">
        <is>
          <t>Wake Up Dead Man (2025); Glass Onion (2022); The Last Jedi (2017)</t>
        </is>
      </c>
      <c r="I18" s="5" t="inlineStr">
        <is>
          <t>Wake Up Dead Man</t>
        </is>
      </c>
      <c r="J18" s="5" t="n">
        <v>2025</v>
      </c>
      <c r="K18" s="5" t="inlineStr">
        <is>
          <t>Streamer (Netflix)</t>
        </is>
      </c>
      <c r="L18" s="5" t="inlineStr">
        <is>
          <t>$151.7M</t>
        </is>
      </c>
      <c r="M18" s="5" t="inlineStr">
        <is>
          <t>$2.5M (limited theatrical)</t>
        </is>
      </c>
      <c r="N18" s="5" t="inlineStr">
        <is>
          <t>TBA (post Netflix deal)</t>
        </is>
      </c>
      <c r="O18" s="5" t="inlineStr"/>
      <c r="P18" s="5" t="inlineStr">
        <is>
          <t>TBD</t>
        </is>
      </c>
      <c r="Q18" s="5" t="inlineStr">
        <is>
          <t>Unknown</t>
        </is>
      </c>
      <c r="R18" s="5" t="inlineStr">
        <is>
          <t>Low</t>
        </is>
      </c>
      <c r="S18" s="5" t="n">
        <v>4</v>
      </c>
      <c r="T18" s="5" t="inlineStr">
        <is>
          <t>Daniel Craig; Josh O'Connor; Glenn Close; Josh Brolin</t>
        </is>
      </c>
      <c r="U18" s="5" t="inlineStr">
        <is>
          <t>Ram Bergman (prod); Netflix (Knives Out deal)</t>
        </is>
      </c>
      <c r="V18" s="5" t="inlineStr">
        <is>
          <t>Can package ensemble; strong with stars in mystery lane.</t>
        </is>
      </c>
      <c r="W18" s="5" t="inlineStr">
        <is>
          <t>Schedules often flexible but dependent on streamer deals.</t>
        </is>
      </c>
      <c r="X18" s="6" t="n">
        <v>46051</v>
      </c>
      <c r="Y18" s="5" t="inlineStr">
        <is>
          <t>https://en.wikipedia.org/wiki/Wake_Up_Dead_Man</t>
        </is>
      </c>
      <c r="Z18" s="5" t="inlineStr"/>
      <c r="AA18" s="5" t="inlineStr"/>
      <c r="AT18" s="19">
        <f>IFERROR(VLOOKUP(AS18,BUDGET_BANDS!$A$2:$C$9,2,FALSE),"")</f>
        <v/>
      </c>
      <c r="AU18" s="19">
        <f>IFERROR(VLOOKUP(AS18,BUDGET_BANDS!$A$2:$C$9,3,FALSE),"")</f>
        <v/>
      </c>
    </row>
    <row r="19">
      <c r="A19" s="5" t="inlineStr">
        <is>
          <t>Taika Waititi</t>
        </is>
      </c>
      <c r="B19" s="5" t="inlineStr">
        <is>
          <t>T1</t>
        </is>
      </c>
      <c r="C19" s="5" t="inlineStr">
        <is>
          <t>Established (genre + comedy)</t>
        </is>
      </c>
      <c r="D19" s="5" t="inlineStr">
        <is>
          <t>Comedy/drama with heart</t>
        </is>
      </c>
      <c r="E19" s="5" t="inlineStr">
        <is>
          <t>Fantasy/sci-fi</t>
        </is>
      </c>
      <c r="F19" s="5" t="inlineStr">
        <is>
          <t>$10M–$250M</t>
        </is>
      </c>
      <c r="G19" s="5" t="inlineStr">
        <is>
          <t>Quirky humor + emotion</t>
        </is>
      </c>
      <c r="H19" s="5" t="inlineStr">
        <is>
          <t>Next Goal Wins (2023); Thor: Love and Thunder (2022); Jojo Rabbit (2019)</t>
        </is>
      </c>
      <c r="I19" s="5" t="inlineStr">
        <is>
          <t>Next Goal Wins</t>
        </is>
      </c>
      <c r="J19" s="5" t="n">
        <v>2023</v>
      </c>
      <c r="K19" s="5" t="inlineStr">
        <is>
          <t>Theatrical</t>
        </is>
      </c>
      <c r="L19" s="5" t="inlineStr">
        <is>
          <t>$14M</t>
        </is>
      </c>
      <c r="M19" s="5" t="inlineStr">
        <is>
          <t>$18.6M</t>
        </is>
      </c>
      <c r="N19" s="5" t="inlineStr">
        <is>
          <t>Klara and the Sun</t>
        </is>
      </c>
      <c r="O19" s="5" t="inlineStr">
        <is>
          <t>2026 (US, Sony)</t>
        </is>
      </c>
      <c r="P19" s="5" t="inlineStr">
        <is>
          <t>Announced</t>
        </is>
      </c>
      <c r="Q19" s="5" t="inlineStr">
        <is>
          <t>Limited (2026 release pipeline)</t>
        </is>
      </c>
      <c r="R19" s="5" t="inlineStr">
        <is>
          <t>Med</t>
        </is>
      </c>
      <c r="S19" s="5" t="n">
        <v>3</v>
      </c>
      <c r="T19" s="5" t="inlineStr">
        <is>
          <t>Michael Fassbender; Jenna Ortega; Amy Adams; Steve Buscemi</t>
        </is>
      </c>
      <c r="U19" s="5" t="inlineStr">
        <is>
          <t>Taika often multi-hyphen; diverse producer network</t>
        </is>
      </c>
      <c r="V19" s="5" t="inlineStr">
        <is>
          <t>Strong tone fit for offbeat/heart; can be polarizing commercially.</t>
        </is>
      </c>
      <c r="W19" s="5" t="inlineStr">
        <is>
          <t>Comedic improvisation can add takes/time.</t>
        </is>
      </c>
      <c r="X19" s="6" t="n">
        <v>46051</v>
      </c>
      <c r="Y19" s="5" t="inlineStr">
        <is>
          <t>https://en.wikipedia.org/wiki/Next_Goal_Wins_(2023_film)</t>
        </is>
      </c>
      <c r="Z19" s="5" t="inlineStr">
        <is>
          <t>https://en.wikipedia.org/wiki/Klara_and_the_Sun_(film)</t>
        </is>
      </c>
      <c r="AA19" s="5" t="inlineStr"/>
      <c r="AT19" s="19">
        <f>IFERROR(VLOOKUP(AS19,BUDGET_BANDS!$A$2:$C$9,2,FALSE),"")</f>
        <v/>
      </c>
      <c r="AU19" s="19">
        <f>IFERROR(VLOOKUP(AS19,BUDGET_BANDS!$A$2:$C$9,3,FALSE),"")</f>
        <v/>
      </c>
    </row>
    <row r="20">
      <c r="A20" s="5" t="inlineStr">
        <is>
          <t>Sam Mendes</t>
        </is>
      </c>
      <c r="B20" s="5" t="inlineStr">
        <is>
          <t>T1</t>
        </is>
      </c>
      <c r="C20" s="5" t="inlineStr">
        <is>
          <t>Established (prestige + franchise)</t>
        </is>
      </c>
      <c r="D20" s="5" t="inlineStr">
        <is>
          <t>Prestige drama</t>
        </is>
      </c>
      <c r="E20" s="5" t="inlineStr">
        <is>
          <t>Spy/action</t>
        </is>
      </c>
      <c r="F20" s="5" t="inlineStr">
        <is>
          <t>$30M–$250M</t>
        </is>
      </c>
      <c r="G20" s="5" t="inlineStr">
        <is>
          <t>Classical craft, emotional restraint</t>
        </is>
      </c>
      <c r="H20" s="5" t="inlineStr">
        <is>
          <t>Empire of Light (2022); 1917 (2019); Spectre (2015)</t>
        </is>
      </c>
      <c r="I20" s="5" t="inlineStr">
        <is>
          <t>Empire of Light</t>
        </is>
      </c>
      <c r="J20" s="5" t="n">
        <v>2022</v>
      </c>
      <c r="K20" s="5" t="inlineStr">
        <is>
          <t>Theatrical</t>
        </is>
      </c>
      <c r="L20" s="5" t="inlineStr"/>
      <c r="M20" s="5" t="inlineStr"/>
      <c r="N20" s="5" t="inlineStr">
        <is>
          <t>The Beatles – A Four-Film Cinematic Event</t>
        </is>
      </c>
      <c r="O20" s="5" t="inlineStr">
        <is>
          <t>Apr 7, 2028 (all four films)</t>
        </is>
      </c>
      <c r="P20" s="5" t="inlineStr">
        <is>
          <t>Announced / in development</t>
        </is>
      </c>
      <c r="Q20" s="5" t="inlineStr">
        <is>
          <t>Likely locked 2026–2028</t>
        </is>
      </c>
      <c r="R20" s="5" t="inlineStr">
        <is>
          <t>Med</t>
        </is>
      </c>
      <c r="S20" s="5" t="n">
        <v>5</v>
      </c>
      <c r="T20" s="5" t="inlineStr">
        <is>
          <t>Paul Mescal; Harris Dickinson; Joseph Quinn; Barry Keoghan</t>
        </is>
      </c>
      <c r="U20" s="5" t="inlineStr">
        <is>
          <t>Neal Street; Sony; Apple Corps</t>
        </is>
      </c>
      <c r="V20" s="5" t="inlineStr">
        <is>
          <t>Massive multi-film commitment—practically unavailable.</t>
        </is>
      </c>
      <c r="W20" s="5" t="inlineStr">
        <is>
          <t>Multi-film production planning; very long horizon.</t>
        </is>
      </c>
      <c r="X20" s="6" t="n">
        <v>46051</v>
      </c>
      <c r="Y20" s="5" t="inlineStr">
        <is>
          <t>https://en.wikipedia.org/wiki/The_Beatles_%E2%80%93_A_Four-Film_Cinematic_Event</t>
        </is>
      </c>
      <c r="Z20" s="5" t="inlineStr">
        <is>
          <t>https://variety.com/2025/film/news/beatles-movies-release-dates-2028-sam-mendes-1236353434/</t>
        </is>
      </c>
      <c r="AA20" s="5" t="inlineStr">
        <is>
          <t>https://en.wikipedia.org/wiki/Sam_Mendes</t>
        </is>
      </c>
      <c r="AT20" s="19">
        <f>IFERROR(VLOOKUP(AS20,BUDGET_BANDS!$A$2:$C$9,2,FALSE),"")</f>
        <v/>
      </c>
      <c r="AU20" s="19">
        <f>IFERROR(VLOOKUP(AS20,BUDGET_BANDS!$A$2:$C$9,3,FALSE),"")</f>
        <v/>
      </c>
    </row>
    <row r="21">
      <c r="A21" s="5" t="inlineStr">
        <is>
          <t>Ridley Scott</t>
        </is>
      </c>
      <c r="B21" s="5" t="inlineStr">
        <is>
          <t>T0</t>
        </is>
      </c>
      <c r="C21" s="5" t="inlineStr">
        <is>
          <t>Established (high output)</t>
        </is>
      </c>
      <c r="D21" s="5" t="inlineStr">
        <is>
          <t>Epic / historical / sci-fi</t>
        </is>
      </c>
      <c r="E21" s="5" t="inlineStr">
        <is>
          <t>Thriller</t>
        </is>
      </c>
      <c r="F21" s="5" t="inlineStr">
        <is>
          <t>$50M–$300M+</t>
        </is>
      </c>
      <c r="G21" s="5" t="inlineStr">
        <is>
          <t>Classical spectacle, muscular drama</t>
        </is>
      </c>
      <c r="H21" s="5" t="inlineStr">
        <is>
          <t>Gladiator II (2024); Napoleon (2023); The Last Duel (2021)</t>
        </is>
      </c>
      <c r="I21" s="5" t="inlineStr">
        <is>
          <t>Gladiator II</t>
        </is>
      </c>
      <c r="J21" s="5" t="n">
        <v>2024</v>
      </c>
      <c r="K21" s="5" t="inlineStr">
        <is>
          <t>Theatrical</t>
        </is>
      </c>
      <c r="L21" s="5" t="inlineStr">
        <is>
          <t>$210M net (reported)</t>
        </is>
      </c>
      <c r="M21" s="5" t="inlineStr">
        <is>
          <t>$462.2M</t>
        </is>
      </c>
      <c r="N21" s="5" t="inlineStr">
        <is>
          <t>The Dog Stars</t>
        </is>
      </c>
      <c r="O21" s="5" t="inlineStr">
        <is>
          <t>Aug 28, 2026 (US)</t>
        </is>
      </c>
      <c r="P21" s="5" t="inlineStr">
        <is>
          <t>Scheduled</t>
        </is>
      </c>
      <c r="Q21" s="5" t="inlineStr">
        <is>
          <t>Low (continuous pipeline)</t>
        </is>
      </c>
      <c r="R21" s="5" t="inlineStr">
        <is>
          <t>Med</t>
        </is>
      </c>
      <c r="S21" s="5" t="n">
        <v>4</v>
      </c>
      <c r="T21" s="5" t="inlineStr">
        <is>
          <t>Paul Mescal; Pedro Pascal; Denzel Washington; Jacob Elordi</t>
        </is>
      </c>
      <c r="U21" s="5" t="inlineStr">
        <is>
          <t>Scott Free; frequent large-scale crews</t>
        </is>
      </c>
      <c r="V21" s="5" t="inlineStr">
        <is>
          <t>Can mount big productions; often multiple projects in flight.</t>
        </is>
      </c>
      <c r="W21" s="5" t="inlineStr">
        <is>
          <t>High output but large logistics; schedule can shift.</t>
        </is>
      </c>
      <c r="X21" s="6" t="n">
        <v>46051</v>
      </c>
      <c r="Y21" s="5" t="inlineStr">
        <is>
          <t>https://en.wikipedia.org/wiki/Gladiator_II</t>
        </is>
      </c>
      <c r="Z21" s="5" t="inlineStr">
        <is>
          <t>https://en.wikipedia.org/wiki/The_Dog_Stars_(film)</t>
        </is>
      </c>
      <c r="AA21" s="5" t="inlineStr">
        <is>
          <t>https://www.hollywoodreporter.com/movies/movie-news/box-office-ridley-scotts-the-dog-stars-pushed-1236457245/</t>
        </is>
      </c>
      <c r="AT21" s="19">
        <f>IFERROR(VLOOKUP(AS21,BUDGET_BANDS!$A$2:$C$9,2,FALSE),"")</f>
        <v/>
      </c>
      <c r="AU21" s="19">
        <f>IFERROR(VLOOKUP(AS21,BUDGET_BANDS!$A$2:$C$9,3,FALSE),"")</f>
        <v/>
      </c>
    </row>
    <row r="22">
      <c r="A22" s="5" t="inlineStr">
        <is>
          <t>Martin Scorsese</t>
        </is>
      </c>
      <c r="B22" s="5" t="inlineStr">
        <is>
          <t>T0</t>
        </is>
      </c>
      <c r="C22" s="5" t="inlineStr">
        <is>
          <t>Legacy peak</t>
        </is>
      </c>
      <c r="D22" s="5" t="inlineStr">
        <is>
          <t>Crime / prestige drama</t>
        </is>
      </c>
      <c r="E22" s="5" t="inlineStr">
        <is>
          <t>Historical epic</t>
        </is>
      </c>
      <c r="F22" s="5" t="inlineStr">
        <is>
          <t>$50M–$200M</t>
        </is>
      </c>
      <c r="G22" s="5" t="inlineStr">
        <is>
          <t>Character + moral complexity</t>
        </is>
      </c>
      <c r="H22" s="5" t="inlineStr">
        <is>
          <t>Killers of the Flower Moon (2023); The Irishman (2019); Silence (2016)</t>
        </is>
      </c>
      <c r="I22" s="5" t="inlineStr">
        <is>
          <t>Killers of the Flower Moon</t>
        </is>
      </c>
      <c r="J22" s="5" t="n">
        <v>2023</v>
      </c>
      <c r="K22" s="5" t="inlineStr">
        <is>
          <t>Theatrical+streamer</t>
        </is>
      </c>
      <c r="L22" s="5" t="inlineStr">
        <is>
          <t>$200–215M</t>
        </is>
      </c>
      <c r="M22" s="5" t="inlineStr">
        <is>
          <t>$158.8M</t>
        </is>
      </c>
      <c r="N22" s="5" t="inlineStr">
        <is>
          <t>What Happens at Night</t>
        </is>
      </c>
      <c r="O22" s="5" t="inlineStr">
        <is>
          <t>TBA (filming reported Feb 2026)</t>
        </is>
      </c>
      <c r="P22" s="5" t="inlineStr">
        <is>
          <t>Announced</t>
        </is>
      </c>
      <c r="Q22" s="5" t="inlineStr">
        <is>
          <t>Limited</t>
        </is>
      </c>
      <c r="R22" s="5" t="inlineStr">
        <is>
          <t>Med</t>
        </is>
      </c>
      <c r="S22" s="5" t="n">
        <v>5</v>
      </c>
      <c r="T22" s="5" t="inlineStr">
        <is>
          <t>Leonardo DiCaprio; Robert De Niro; Jennifer Lawrence (next)</t>
        </is>
      </c>
      <c r="U22" s="5" t="inlineStr">
        <is>
          <t>DiCaprio (repeat); Thelma Schoonmaker (editor)</t>
        </is>
      </c>
      <c r="V22" s="5" t="inlineStr">
        <is>
          <t>Top prestige attachment; often talent-driven packages.</t>
        </is>
      </c>
      <c r="W22" s="5" t="inlineStr">
        <is>
          <t>Long runtimes/edits; schedule depends on lead talent.</t>
        </is>
      </c>
      <c r="X22" s="6" t="n">
        <v>46051</v>
      </c>
      <c r="Y22" s="5" t="inlineStr">
        <is>
          <t>https://en.wikipedia.org/wiki/Killers_of_the_Flower_Moon_(film)</t>
        </is>
      </c>
      <c r="Z22" s="5" t="inlineStr">
        <is>
          <t>https://deadline.com/2025/09/scorsese-dicaprio-jennifer-lawrence-what-happens-at-night-1236548458/</t>
        </is>
      </c>
      <c r="AA22" s="5" t="inlineStr"/>
      <c r="AT22" s="19">
        <f>IFERROR(VLOOKUP(AS22,BUDGET_BANDS!$A$2:$C$9,2,FALSE),"")</f>
        <v/>
      </c>
      <c r="AU22" s="19">
        <f>IFERROR(VLOOKUP(AS22,BUDGET_BANDS!$A$2:$C$9,3,FALSE),"")</f>
        <v/>
      </c>
    </row>
    <row r="23">
      <c r="A23" s="5" t="inlineStr">
        <is>
          <t>Guillermo del Toro</t>
        </is>
      </c>
      <c r="B23" s="5" t="inlineStr">
        <is>
          <t>T1</t>
        </is>
      </c>
      <c r="C23" s="5" t="inlineStr">
        <is>
          <t>Established (auteur + studio)</t>
        </is>
      </c>
      <c r="D23" s="5" t="inlineStr">
        <is>
          <t>Fantasy / gothic</t>
        </is>
      </c>
      <c r="E23" s="5" t="inlineStr">
        <is>
          <t>Drama, horror</t>
        </is>
      </c>
      <c r="F23" s="5" t="inlineStr">
        <is>
          <t>$30M–$120M</t>
        </is>
      </c>
      <c r="G23" s="5" t="inlineStr">
        <is>
          <t>Gothic emotion, creature design</t>
        </is>
      </c>
      <c r="H23" s="5" t="inlineStr">
        <is>
          <t>Frankenstein (2025); Pinocchio (2022); Nightmare Alley (2021)</t>
        </is>
      </c>
      <c r="I23" s="5" t="inlineStr">
        <is>
          <t>Frankenstein</t>
        </is>
      </c>
      <c r="J23" s="5" t="n">
        <v>2025</v>
      </c>
      <c r="K23" s="5" t="inlineStr">
        <is>
          <t>Streamer (Netflix)</t>
        </is>
      </c>
      <c r="L23" s="5" t="inlineStr">
        <is>
          <t>$120M</t>
        </is>
      </c>
      <c r="M23" s="5" t="inlineStr">
        <is>
          <t>(mostly streaming; limited BO)</t>
        </is>
      </c>
      <c r="N23" s="5" t="inlineStr">
        <is>
          <t>TBA</t>
        </is>
      </c>
      <c r="O23" s="5" t="inlineStr"/>
      <c r="P23" s="5" t="inlineStr">
        <is>
          <t>TBD</t>
        </is>
      </c>
      <c r="Q23" s="5" t="inlineStr">
        <is>
          <t>Unknown</t>
        </is>
      </c>
      <c r="R23" s="5" t="inlineStr">
        <is>
          <t>Low</t>
        </is>
      </c>
      <c r="S23" s="5" t="n">
        <v>4</v>
      </c>
      <c r="T23" s="5" t="inlineStr">
        <is>
          <t>Oscar Isaac; Jacob Elordi; Mia Goth; Christoph Waltz</t>
        </is>
      </c>
      <c r="U23" s="5" t="inlineStr">
        <is>
          <t>Dan Laustsen (DP); Netflix (recent)</t>
        </is>
      </c>
      <c r="V23" s="5" t="inlineStr">
        <is>
          <t>Strong for elevated genre and awards lane; streamer relationships matter.</t>
        </is>
      </c>
      <c r="W23" s="5" t="inlineStr">
        <is>
          <t>Design-heavy; long preproduction.</t>
        </is>
      </c>
      <c r="X23" s="6" t="n">
        <v>46051</v>
      </c>
      <c r="Y23" s="5" t="inlineStr">
        <is>
          <t>https://en.wikipedia.org/wiki/Frankenstein_(2025_film)</t>
        </is>
      </c>
      <c r="Z23" s="5" t="inlineStr">
        <is>
          <t>https://www.netflix.com/title/81507921</t>
        </is>
      </c>
      <c r="AA23" s="5" t="inlineStr"/>
      <c r="AT23" s="19">
        <f>IFERROR(VLOOKUP(AS23,BUDGET_BANDS!$A$2:$C$9,2,FALSE),"")</f>
        <v/>
      </c>
      <c r="AU23" s="19">
        <f>IFERROR(VLOOKUP(AS23,BUDGET_BANDS!$A$2:$C$9,3,FALSE),"")</f>
        <v/>
      </c>
    </row>
    <row r="24">
      <c r="A24" s="5" t="inlineStr">
        <is>
          <t>Bong Joon Ho</t>
        </is>
      </c>
      <c r="B24" s="5" t="inlineStr">
        <is>
          <t>T1</t>
        </is>
      </c>
      <c r="C24" s="5" t="inlineStr">
        <is>
          <t>Established (international event auteur)</t>
        </is>
      </c>
      <c r="D24" s="5" t="inlineStr">
        <is>
          <t>Satirical genre blends</t>
        </is>
      </c>
      <c r="E24" s="5" t="inlineStr">
        <is>
          <t>Sci-fi, thriller</t>
        </is>
      </c>
      <c r="F24" s="5" t="inlineStr">
        <is>
          <t>$30M–$120M</t>
        </is>
      </c>
      <c r="G24" s="5" t="inlineStr">
        <is>
          <t>Dark humor, class politics, tonal pivots</t>
        </is>
      </c>
      <c r="H24" s="5" t="inlineStr">
        <is>
          <t>Mickey 17 (2025); Parasite (2019); Okja (2017)</t>
        </is>
      </c>
      <c r="I24" s="5" t="inlineStr">
        <is>
          <t>Mickey 17</t>
        </is>
      </c>
      <c r="J24" s="5" t="n">
        <v>2025</v>
      </c>
      <c r="K24" s="5" t="inlineStr">
        <is>
          <t>Theatrical</t>
        </is>
      </c>
      <c r="L24" s="5" t="inlineStr">
        <is>
          <t>$118M</t>
        </is>
      </c>
      <c r="M24" s="5" t="inlineStr">
        <is>
          <t>$133.3M</t>
        </is>
      </c>
      <c r="N24" s="5" t="inlineStr">
        <is>
          <t>Untitled animated film (in progress)</t>
        </is>
      </c>
      <c r="O24" s="5" t="inlineStr">
        <is>
          <t>~2027 (reported update)</t>
        </is>
      </c>
      <c r="P24" s="5" t="inlineStr">
        <is>
          <t>In development/production (reported)</t>
        </is>
      </c>
      <c r="Q24" s="5" t="inlineStr">
        <is>
          <t>Low</t>
        </is>
      </c>
      <c r="R24" s="5" t="inlineStr">
        <is>
          <t>Low</t>
        </is>
      </c>
      <c r="S24" s="5" t="n">
        <v>4</v>
      </c>
      <c r="T24" s="5" t="inlineStr">
        <is>
          <t>Robert Pattinson; Naomi Ackie; Steven Yeun; Mark Ruffalo</t>
        </is>
      </c>
      <c r="U24" s="5" t="inlineStr">
        <is>
          <t>Plan B (prod, Mickey 17)</t>
        </is>
      </c>
      <c r="V24" s="5" t="inlineStr">
        <is>
          <t>High prestige; language/market considerations; next project long-horizon.</t>
        </is>
      </c>
      <c r="W24" s="5" t="inlineStr">
        <is>
          <t>Complex VFX and post cycles.</t>
        </is>
      </c>
      <c r="X24" s="6" t="n">
        <v>46051</v>
      </c>
      <c r="Y24" s="5" t="inlineStr">
        <is>
          <t>https://en.wikipedia.org/wiki/Mickey_17</t>
        </is>
      </c>
      <c r="Z24" s="5" t="inlineStr">
        <is>
          <t>https://deadline.com/2025/11/bong-joon-ho-upcoming-animation-very-wild-tough-job-1236631084/</t>
        </is>
      </c>
      <c r="AA24" s="5" t="inlineStr"/>
      <c r="AT24" s="19">
        <f>IFERROR(VLOOKUP(AS24,BUDGET_BANDS!$A$2:$C$9,2,FALSE),"")</f>
        <v/>
      </c>
      <c r="AU24" s="19">
        <f>IFERROR(VLOOKUP(AS24,BUDGET_BANDS!$A$2:$C$9,3,FALSE),"")</f>
        <v/>
      </c>
    </row>
    <row r="25">
      <c r="A25" s="5" t="inlineStr">
        <is>
          <t>Chloé Zhao</t>
        </is>
      </c>
      <c r="B25" s="5" t="inlineStr">
        <is>
          <t>T2</t>
        </is>
      </c>
      <c r="C25" s="5" t="inlineStr">
        <is>
          <t>Prestige (selective)</t>
        </is>
      </c>
      <c r="D25" s="5" t="inlineStr">
        <is>
          <t>Intimate drama</t>
        </is>
      </c>
      <c r="E25" s="5" t="inlineStr">
        <is>
          <t>Historical</t>
        </is>
      </c>
      <c r="F25" s="5" t="inlineStr">
        <is>
          <t>$10M–$60M</t>
        </is>
      </c>
      <c r="G25" s="5" t="inlineStr">
        <is>
          <t>Naturalism, lyricism</t>
        </is>
      </c>
      <c r="H25" s="5" t="inlineStr">
        <is>
          <t>Hamnet (2025); Eternals (2021); Nomadland (2020)</t>
        </is>
      </c>
      <c r="I25" s="5" t="inlineStr">
        <is>
          <t>Hamnet</t>
        </is>
      </c>
      <c r="J25" s="5" t="n">
        <v>2025</v>
      </c>
      <c r="K25" s="5" t="inlineStr">
        <is>
          <t>Theatrical</t>
        </is>
      </c>
      <c r="L25" s="5" t="inlineStr">
        <is>
          <t>$30–35M</t>
        </is>
      </c>
      <c r="M25" s="5" t="inlineStr">
        <is>
          <t>$43M</t>
        </is>
      </c>
      <c r="N25" s="5" t="inlineStr">
        <is>
          <t>TBA</t>
        </is>
      </c>
      <c r="O25" s="5" t="inlineStr"/>
      <c r="P25" s="5" t="inlineStr">
        <is>
          <t>TBD</t>
        </is>
      </c>
      <c r="Q25" s="5" t="inlineStr">
        <is>
          <t>Unknown</t>
        </is>
      </c>
      <c r="R25" s="5" t="inlineStr">
        <is>
          <t>Low</t>
        </is>
      </c>
      <c r="S25" s="5" t="n">
        <v>3</v>
      </c>
      <c r="T25" s="5" t="inlineStr">
        <is>
          <t>Jessie Buckley; Paul Mescal; Emily Watson</t>
        </is>
      </c>
      <c r="U25" s="5" t="inlineStr">
        <is>
          <t>Focus Features (dist, Hamnet)</t>
        </is>
      </c>
      <c r="V25" s="5" t="inlineStr">
        <is>
          <t>Strong awards lane attachment; not a commercial genre lever.</t>
        </is>
      </c>
      <c r="W25" s="5" t="inlineStr">
        <is>
          <t>Often location/available-light oriented.</t>
        </is>
      </c>
      <c r="X25" s="6" t="n">
        <v>46051</v>
      </c>
      <c r="Y25" s="5" t="inlineStr">
        <is>
          <t>https://en.wikipedia.org/wiki/Hamnet_(film)</t>
        </is>
      </c>
      <c r="Z25" s="5" t="inlineStr">
        <is>
          <t>https://www.hollywoodreporter.com/movies/movie-news/chloe-zhao-hamnet-bafta-most-nominated-film-female-director-1236485900/</t>
        </is>
      </c>
      <c r="AA25" s="5" t="inlineStr"/>
      <c r="AT25" s="19">
        <f>IFERROR(VLOOKUP(AS25,BUDGET_BANDS!$A$2:$C$9,2,FALSE),"")</f>
        <v/>
      </c>
      <c r="AU25" s="19">
        <f>IFERROR(VLOOKUP(AS25,BUDGET_BANDS!$A$2:$C$9,3,FALSE),"")</f>
        <v/>
      </c>
    </row>
    <row r="26">
      <c r="A26" s="5" t="inlineStr">
        <is>
          <t>Barry Jenkins</t>
        </is>
      </c>
      <c r="B26" s="5" t="inlineStr">
        <is>
          <t>T1</t>
        </is>
      </c>
      <c r="C26" s="5" t="inlineStr">
        <is>
          <t>Peak (prestige + Disney scale)</t>
        </is>
      </c>
      <c r="D26" s="5" t="inlineStr">
        <is>
          <t>Character drama</t>
        </is>
      </c>
      <c r="E26" s="5" t="inlineStr">
        <is>
          <t>Family musical (CG), sci-fi thriller (next)</t>
        </is>
      </c>
      <c r="F26" s="5" t="inlineStr">
        <is>
          <t>$30M–$200M</t>
        </is>
      </c>
      <c r="G26" s="5" t="inlineStr">
        <is>
          <t>Emotional intimacy, lyrical imagery</t>
        </is>
      </c>
      <c r="H26" s="5" t="inlineStr">
        <is>
          <t>Mufasa: The Lion King (2024); If Beale Street Could Talk (2018); Moonlight (2016)</t>
        </is>
      </c>
      <c r="I26" s="5" t="inlineStr">
        <is>
          <t>Mufasa: The Lion King</t>
        </is>
      </c>
      <c r="J26" s="5" t="n">
        <v>2024</v>
      </c>
      <c r="K26" s="5" t="inlineStr">
        <is>
          <t>Theatrical</t>
        </is>
      </c>
      <c r="L26" s="5" t="inlineStr">
        <is>
          <t>$200M</t>
        </is>
      </c>
      <c r="M26" s="5" t="inlineStr">
        <is>
          <t>$723M</t>
        </is>
      </c>
      <c r="N26" s="5" t="inlineStr">
        <is>
          <t>The Natural Order</t>
        </is>
      </c>
      <c r="O26" s="5" t="inlineStr">
        <is>
          <t>TBA</t>
        </is>
      </c>
      <c r="P26" s="5" t="inlineStr">
        <is>
          <t>In talks / announced package</t>
        </is>
      </c>
      <c r="Q26" s="5" t="inlineStr">
        <is>
          <t>Unknown</t>
        </is>
      </c>
      <c r="R26" s="5" t="inlineStr">
        <is>
          <t>Low</t>
        </is>
      </c>
      <c r="S26" s="5" t="n">
        <v>4</v>
      </c>
      <c r="T26" s="5" t="inlineStr">
        <is>
          <t>Aaron Pierre; Kelvin Harrison Jr.; Glen Powell (next)</t>
        </is>
      </c>
      <c r="U26" s="5" t="inlineStr">
        <is>
          <t>Adele Romanski (prod, past); Universal (next package)</t>
        </is>
      </c>
      <c r="V26" s="5" t="inlineStr">
        <is>
          <t>Can bridge prestige to commercial; actors respond.</t>
        </is>
      </c>
      <c r="W26" s="5" t="inlineStr">
        <is>
          <t>Lane varies widely depending on project scale.</t>
        </is>
      </c>
      <c r="X26" s="6" t="n">
        <v>46051</v>
      </c>
      <c r="Y26" s="5" t="inlineStr">
        <is>
          <t>https://en.wikipedia.org/wiki/Mufasa:_The_Lion_King</t>
        </is>
      </c>
      <c r="Z26" s="5" t="inlineStr">
        <is>
          <t>https://deadline.com/2025/03/glen-powell-barry-jenkins-the-natural-order-movie-1236324474/</t>
        </is>
      </c>
      <c r="AA26" s="5" t="inlineStr"/>
      <c r="AT26" s="19">
        <f>IFERROR(VLOOKUP(AS26,BUDGET_BANDS!$A$2:$C$9,2,FALSE),"")</f>
        <v/>
      </c>
      <c r="AU26" s="19">
        <f>IFERROR(VLOOKUP(AS26,BUDGET_BANDS!$A$2:$C$9,3,FALSE),"")</f>
        <v/>
      </c>
    </row>
    <row r="27">
      <c r="A27" s="5" t="inlineStr">
        <is>
          <t>Steve McQueen</t>
        </is>
      </c>
      <c r="B27" s="5" t="inlineStr">
        <is>
          <t>T2</t>
        </is>
      </c>
      <c r="C27" s="5" t="inlineStr">
        <is>
          <t>Prestige (selective)</t>
        </is>
      </c>
      <c r="D27" s="5" t="inlineStr">
        <is>
          <t>Historical drama</t>
        </is>
      </c>
      <c r="E27" s="5" t="inlineStr">
        <is>
          <t>Thriller</t>
        </is>
      </c>
      <c r="F27" s="5" t="inlineStr">
        <is>
          <t>$10M–$80M</t>
        </is>
      </c>
      <c r="G27" s="5" t="inlineStr">
        <is>
          <t>Formally rigorous, intense</t>
        </is>
      </c>
      <c r="H27" s="5" t="inlineStr">
        <is>
          <t>Blitz (2024); Widows (2018); 12 Years a Slave (2013)</t>
        </is>
      </c>
      <c r="I27" s="5" t="inlineStr">
        <is>
          <t>Blitz</t>
        </is>
      </c>
      <c r="J27" s="5" t="n">
        <v>2024</v>
      </c>
      <c r="K27" s="5" t="inlineStr">
        <is>
          <t>Streamer (Apple TV+)</t>
        </is>
      </c>
      <c r="L27" s="5" t="inlineStr"/>
      <c r="M27" s="5" t="inlineStr"/>
      <c r="N27" s="5" t="inlineStr">
        <is>
          <t>TBA</t>
        </is>
      </c>
      <c r="O27" s="5" t="inlineStr"/>
      <c r="P27" s="5" t="inlineStr">
        <is>
          <t>TBD</t>
        </is>
      </c>
      <c r="Q27" s="5" t="inlineStr">
        <is>
          <t>Unknown</t>
        </is>
      </c>
      <c r="R27" s="5" t="inlineStr">
        <is>
          <t>Low</t>
        </is>
      </c>
      <c r="S27" s="5" t="n">
        <v>3</v>
      </c>
      <c r="T27" s="5" t="inlineStr">
        <is>
          <t>Saoirse Ronan; Harris Dickinson; Stephen Graham</t>
        </is>
      </c>
      <c r="U27" s="5" t="inlineStr">
        <is>
          <t>Working Title / Apple (Blitz)</t>
        </is>
      </c>
      <c r="V27" s="5" t="inlineStr">
        <is>
          <t>Awards/prestige lever.</t>
        </is>
      </c>
      <c r="W27" s="5" t="inlineStr">
        <is>
          <t>Often formal approach; production depends on partners.</t>
        </is>
      </c>
      <c r="X27" s="6" t="n">
        <v>46051</v>
      </c>
      <c r="Y27" s="5" t="inlineStr">
        <is>
          <t>https://en.wikipedia.org/wiki/Blitz_(2024_film)</t>
        </is>
      </c>
      <c r="Z27" s="5" t="inlineStr"/>
      <c r="AA27" s="5" t="inlineStr"/>
      <c r="AT27" s="19">
        <f>IFERROR(VLOOKUP(AS27,BUDGET_BANDS!$A$2:$C$9,2,FALSE),"")</f>
        <v/>
      </c>
      <c r="AU27" s="19">
        <f>IFERROR(VLOOKUP(AS27,BUDGET_BANDS!$A$2:$C$9,3,FALSE),"")</f>
        <v/>
      </c>
    </row>
    <row r="28">
      <c r="A28" s="5" t="inlineStr">
        <is>
          <t>Emerald Fennell</t>
        </is>
      </c>
      <c r="B28" s="5" t="inlineStr">
        <is>
          <t>T2</t>
        </is>
      </c>
      <c r="C28" s="5" t="inlineStr">
        <is>
          <t>Hot</t>
        </is>
      </c>
      <c r="D28" s="5" t="inlineStr">
        <is>
          <t>Dark comedy / provocative drama</t>
        </is>
      </c>
      <c r="E28" s="5" t="inlineStr">
        <is>
          <t>Period romance</t>
        </is>
      </c>
      <c r="F28" s="5" t="inlineStr">
        <is>
          <t>$10M–$60M</t>
        </is>
      </c>
      <c r="G28" s="5" t="inlineStr">
        <is>
          <t>Satirical, edgy, stylized</t>
        </is>
      </c>
      <c r="H28" s="5" t="inlineStr">
        <is>
          <t>Saltburn (2023); Promising Young Woman (2020); (shorts/TV prior)</t>
        </is>
      </c>
      <c r="I28" s="5" t="inlineStr">
        <is>
          <t>Saltburn</t>
        </is>
      </c>
      <c r="J28" s="5" t="n">
        <v>2023</v>
      </c>
      <c r="K28" s="5" t="inlineStr">
        <is>
          <t>Streamer + limited theatrical</t>
        </is>
      </c>
      <c r="L28" s="5" t="inlineStr"/>
      <c r="M28" s="5" t="inlineStr">
        <is>
          <t>$21.1M</t>
        </is>
      </c>
      <c r="N28" s="5" t="inlineStr">
        <is>
          <t>Wuthering Heights</t>
        </is>
      </c>
      <c r="O28" s="5" t="inlineStr">
        <is>
          <t>Feb 13, 2026</t>
        </is>
      </c>
      <c r="P28" s="5" t="inlineStr">
        <is>
          <t>Releasing</t>
        </is>
      </c>
      <c r="Q28" s="5" t="inlineStr">
        <is>
          <t>Likely unavailable until after Feb 2026 release</t>
        </is>
      </c>
      <c r="R28" s="5" t="inlineStr">
        <is>
          <t>Med</t>
        </is>
      </c>
      <c r="S28" s="5" t="n">
        <v>4</v>
      </c>
      <c r="T28" s="5" t="inlineStr">
        <is>
          <t>Barry Keoghan; Jacob Elordi; Margot Robbie (prod/star)</t>
        </is>
      </c>
      <c r="U28" s="5" t="inlineStr">
        <is>
          <t>LuckyChap (prod); Jacob Elordi (repeat)</t>
        </is>
      </c>
      <c r="V28" s="5" t="inlineStr">
        <is>
          <t>Tone-specific; can attract buzzy casts.</t>
        </is>
      </c>
      <c r="W28" s="5" t="inlineStr">
        <is>
          <t>Content can be polarizing; marketing sensitive.</t>
        </is>
      </c>
      <c r="X28" s="6" t="n">
        <v>46051</v>
      </c>
      <c r="Y28" s="5" t="inlineStr">
        <is>
          <t>https://en.wikipedia.org/wiki/Saltburn_(film)</t>
        </is>
      </c>
      <c r="Z28" s="5" t="inlineStr">
        <is>
          <t>https://people.com/all-about-wuthering-heights-movie-11891199</t>
        </is>
      </c>
      <c r="AA28" s="5" t="inlineStr"/>
      <c r="AT28" s="19">
        <f>IFERROR(VLOOKUP(AS28,BUDGET_BANDS!$A$2:$C$9,2,FALSE),"")</f>
        <v/>
      </c>
      <c r="AU28" s="19">
        <f>IFERROR(VLOOKUP(AS28,BUDGET_BANDS!$A$2:$C$9,3,FALSE),"")</f>
        <v/>
      </c>
    </row>
    <row r="29">
      <c r="A29" s="5" t="inlineStr">
        <is>
          <t>Shawn Levy</t>
        </is>
      </c>
      <c r="B29" s="5" t="inlineStr">
        <is>
          <t>T0</t>
        </is>
      </c>
      <c r="C29" s="5" t="inlineStr">
        <is>
          <t>Peak (studio event + IP)</t>
        </is>
      </c>
      <c r="D29" s="5" t="inlineStr">
        <is>
          <t>Commercial action/adventure comedy</t>
        </is>
      </c>
      <c r="E29" s="5" t="inlineStr">
        <is>
          <t>Sci-fi, franchise</t>
        </is>
      </c>
      <c r="F29" s="5" t="inlineStr">
        <is>
          <t>$100M–$250M+</t>
        </is>
      </c>
      <c r="G29" s="5" t="inlineStr">
        <is>
          <t>Big-hearted crowd-pleaser</t>
        </is>
      </c>
      <c r="H29" s="5" t="inlineStr">
        <is>
          <t>Deadpool &amp; Wolverine (2024); The Adam Project (2022); Free Guy (2021)</t>
        </is>
      </c>
      <c r="I29" s="5" t="inlineStr">
        <is>
          <t>Deadpool &amp; Wolverine</t>
        </is>
      </c>
      <c r="J29" s="5" t="n">
        <v>2024</v>
      </c>
      <c r="K29" s="5" t="inlineStr">
        <is>
          <t>Theatrical</t>
        </is>
      </c>
      <c r="L29" s="5" t="inlineStr">
        <is>
          <t>(see source)</t>
        </is>
      </c>
      <c r="M29" s="5" t="inlineStr">
        <is>
          <t>$1.338B</t>
        </is>
      </c>
      <c r="N29" s="5" t="inlineStr">
        <is>
          <t>Star Wars: Starfighter</t>
        </is>
      </c>
      <c r="O29" s="5" t="inlineStr">
        <is>
          <t>May 28, 2027</t>
        </is>
      </c>
      <c r="P29" s="5" t="inlineStr">
        <is>
          <t>Post-production (filming wrapped Dec 2025)</t>
        </is>
      </c>
      <c r="Q29" s="5" t="inlineStr">
        <is>
          <t>Low (post + follow-ups)</t>
        </is>
      </c>
      <c r="R29" s="5" t="inlineStr">
        <is>
          <t>Med</t>
        </is>
      </c>
      <c r="S29" s="5" t="n">
        <v>5</v>
      </c>
      <c r="T29" s="5" t="inlineStr">
        <is>
          <t>Ryan Reynolds; Hugh Jackman; Ryan Gosling (Starfighter)</t>
        </is>
      </c>
      <c r="U29" s="5" t="inlineStr">
        <is>
          <t>21 Laps; Ryan Reynolds (repeat)</t>
        </is>
      </c>
      <c r="V29" s="5" t="inlineStr">
        <is>
          <t>Top-tier commercial attachment; schedule tied to SW post pipeline.</t>
        </is>
      </c>
      <c r="W29" s="5" t="inlineStr">
        <is>
          <t>Large VFX post; Disney/Lucasfilm process.</t>
        </is>
      </c>
      <c r="X29" s="6" t="n">
        <v>46051</v>
      </c>
      <c r="Y29" s="5" t="inlineStr">
        <is>
          <t>https://en.wikipedia.org/wiki/Deadpool_%26_Wolverine</t>
        </is>
      </c>
      <c r="Z29" s="5" t="inlineStr">
        <is>
          <t>https://en.wikipedia.org/wiki/Star_Wars:_Starfighter</t>
        </is>
      </c>
      <c r="AA29" s="5" t="inlineStr">
        <is>
          <t>https://people.com/starfighter-writer-teases-star-wars-movie-with-ryan-gosling-exclusive-11889140</t>
        </is>
      </c>
      <c r="AT29" s="19">
        <f>IFERROR(VLOOKUP(AS29,BUDGET_BANDS!$A$2:$C$9,2,FALSE),"")</f>
        <v/>
      </c>
      <c r="AU29" s="19">
        <f>IFERROR(VLOOKUP(AS29,BUDGET_BANDS!$A$2:$C$9,3,FALSE),"")</f>
        <v/>
      </c>
    </row>
    <row r="30">
      <c r="A30" s="5" t="inlineStr">
        <is>
          <t>Paul King</t>
        </is>
      </c>
      <c r="B30" s="5" t="inlineStr">
        <is>
          <t>T1</t>
        </is>
      </c>
      <c r="C30" s="5" t="inlineStr">
        <is>
          <t>Hot (family musical hit)</t>
        </is>
      </c>
      <c r="D30" s="5" t="inlineStr">
        <is>
          <t>Family / comedy</t>
        </is>
      </c>
      <c r="E30" s="5" t="inlineStr">
        <is>
          <t>Musical fantasy</t>
        </is>
      </c>
      <c r="F30" s="5" t="inlineStr">
        <is>
          <t>$50M–$150M</t>
        </is>
      </c>
      <c r="G30" s="5" t="inlineStr">
        <is>
          <t>Warmth, whimsy, precision comedy</t>
        </is>
      </c>
      <c r="H30" s="5" t="inlineStr">
        <is>
          <t>Wonka (2023); Paddington 2 (2017); Paddington (2014)</t>
        </is>
      </c>
      <c r="I30" s="5" t="inlineStr">
        <is>
          <t>Wonka</t>
        </is>
      </c>
      <c r="J30" s="5" t="n">
        <v>2023</v>
      </c>
      <c r="K30" s="5" t="inlineStr">
        <is>
          <t>Theatrical</t>
        </is>
      </c>
      <c r="L30" s="5" t="inlineStr">
        <is>
          <t>$125M</t>
        </is>
      </c>
      <c r="M30" s="5" t="inlineStr">
        <is>
          <t>$634.5M</t>
        </is>
      </c>
      <c r="N30" s="5" t="inlineStr">
        <is>
          <t>Labubu (Sony)</t>
        </is>
      </c>
      <c r="O30" s="5" t="inlineStr">
        <is>
          <t>TBA</t>
        </is>
      </c>
      <c r="P30" s="5" t="inlineStr">
        <is>
          <t>Early development (announced)</t>
        </is>
      </c>
      <c r="Q30" s="5" t="inlineStr">
        <is>
          <t>Unknown</t>
        </is>
      </c>
      <c r="R30" s="5" t="inlineStr">
        <is>
          <t>Low</t>
        </is>
      </c>
      <c r="S30" s="5" t="n">
        <v>4</v>
      </c>
      <c r="T30" s="5" t="inlineStr">
        <is>
          <t>Timothée Chalamet; Olivia Colman; Hugh Grant</t>
        </is>
      </c>
      <c r="U30" s="5" t="inlineStr">
        <is>
          <t>Heyday Films (prod); Warner Bros (Wonka)</t>
        </is>
      </c>
      <c r="V30" s="5" t="inlineStr">
        <is>
          <t>Very strong for family lane; reliable tone control.</t>
        </is>
      </c>
      <c r="W30" s="5" t="inlineStr">
        <is>
          <t>Family brand alignment important.</t>
        </is>
      </c>
      <c r="X30" s="6" t="n">
        <v>46051</v>
      </c>
      <c r="Y30" s="5" t="inlineStr">
        <is>
          <t>https://en.wikipedia.org/wiki/Wonka_(film)</t>
        </is>
      </c>
      <c r="Z30" s="5" t="inlineStr">
        <is>
          <t>https://variety.com/2025/film/news/labubu-movie-wonka-paddington-director-paul-king-1236612320/</t>
        </is>
      </c>
      <c r="AA30" s="5" t="inlineStr">
        <is>
          <t>https://www.hollywoodreporter.com/movies/movie-news/paul-king-to-direct-labubu-movie-for-sony-1236453921/</t>
        </is>
      </c>
      <c r="AT30" s="19">
        <f>IFERROR(VLOOKUP(AS30,BUDGET_BANDS!$A$2:$C$9,2,FALSE),"")</f>
        <v/>
      </c>
      <c r="AU30" s="19">
        <f>IFERROR(VLOOKUP(AS30,BUDGET_BANDS!$A$2:$C$9,3,FALSE),"")</f>
        <v/>
      </c>
    </row>
    <row r="31">
      <c r="A31" s="5" t="inlineStr">
        <is>
          <t>Patty Jenkins</t>
        </is>
      </c>
      <c r="B31" s="5" t="inlineStr">
        <is>
          <t>T1</t>
        </is>
      </c>
      <c r="C31" s="5" t="inlineStr">
        <is>
          <t>Established (big IP)</t>
        </is>
      </c>
      <c r="D31" s="5" t="inlineStr">
        <is>
          <t>Superhero / action</t>
        </is>
      </c>
      <c r="E31" s="5" t="inlineStr">
        <is>
          <t>Drama</t>
        </is>
      </c>
      <c r="F31" s="5" t="inlineStr">
        <is>
          <t>$50M–$200M</t>
        </is>
      </c>
      <c r="G31" s="5" t="inlineStr">
        <is>
          <t>Earnest heroism, classical arcs</t>
        </is>
      </c>
      <c r="H31" s="5" t="inlineStr">
        <is>
          <t>Wonder Woman 1984 (2020); Wonder Woman (2017); Monster (2003)</t>
        </is>
      </c>
      <c r="I31" s="5" t="inlineStr">
        <is>
          <t>Wonder Woman 1984</t>
        </is>
      </c>
      <c r="J31" s="5" t="n">
        <v>2020</v>
      </c>
      <c r="K31" s="5" t="inlineStr">
        <is>
          <t>Theatrical+HBO Max (pandemic)</t>
        </is>
      </c>
      <c r="L31" s="5" t="inlineStr">
        <is>
          <t>$200M</t>
        </is>
      </c>
      <c r="M31" s="5" t="inlineStr">
        <is>
          <t>$169.6M</t>
        </is>
      </c>
      <c r="N31" s="5" t="inlineStr">
        <is>
          <t>Rogue Squadron (status uncertain) / TBA</t>
        </is>
      </c>
      <c r="O31" s="5" t="inlineStr">
        <is>
          <t>TBA</t>
        </is>
      </c>
      <c r="P31" s="5" t="inlineStr">
        <is>
          <t>Reported / unconfirmed by Lucasfilm</t>
        </is>
      </c>
      <c r="Q31" s="5" t="inlineStr">
        <is>
          <t>Unknown</t>
        </is>
      </c>
      <c r="R31" s="5" t="inlineStr">
        <is>
          <t>Low</t>
        </is>
      </c>
      <c r="S31" s="5" t="n">
        <v>3</v>
      </c>
      <c r="T31" s="5" t="inlineStr">
        <is>
          <t>Gal Gadot; Chris Pine; Kristen Wiig; Pedro Pascal</t>
        </is>
      </c>
      <c r="U31" s="5" t="inlineStr">
        <is>
          <t>Warner/DC (past)</t>
        </is>
      </c>
      <c r="V31" s="5" t="inlineStr">
        <is>
          <t>Action/hero lane; next project status needs verification.</t>
        </is>
      </c>
      <c r="W31" s="5" t="inlineStr">
        <is>
          <t>Big studio processes; schedule dependent on greenlight.</t>
        </is>
      </c>
      <c r="X31" s="6" t="n">
        <v>46051</v>
      </c>
      <c r="Y31" s="5" t="inlineStr">
        <is>
          <t>https://en.wikipedia.org/wiki/Wonder_Woman_1984</t>
        </is>
      </c>
      <c r="Z31" s="5" t="inlineStr">
        <is>
          <t>https://editorial.rottentomatoes.com/article/every-upcoming-star-wars-movie-and-series-with-key-details-and-dates/</t>
        </is>
      </c>
      <c r="AA31" s="5" t="inlineStr">
        <is>
          <t>https://www.the-numbers.com/person/761230401-Patty-Jenkins</t>
        </is>
      </c>
      <c r="AT31" s="19">
        <f>IFERROR(VLOOKUP(AS31,BUDGET_BANDS!$A$2:$C$9,2,FALSE),"")</f>
        <v/>
      </c>
      <c r="AU31" s="19">
        <f>IFERROR(VLOOKUP(AS31,BUDGET_BANDS!$A$2:$C$9,3,FALSE),"")</f>
        <v/>
      </c>
    </row>
  </sheetData>
  <conditionalFormatting sqref="A2:AA31">
    <cfRule type="expression" priority="1" dxfId="0">
      <formula>AND($X2&lt;&gt;"",TODAY()-$X2&gt;90)</formula>
    </cfRule>
  </conditionalFormatting>
  <dataValidations count="1">
    <dataValidation sqref="AS2:AS31" showDropDown="0" showInputMessage="0" showErrorMessage="0" allowBlank="1" errorTitle="Invalid Budget Band" error="Select a budget band from the list." promptTitle="Budget Band" prompt="Pick the typical budget band for this director." type="list">
      <formula1>=BUDGET_BANDS!$A$2:$A$9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4" customWidth="1" min="4" max="4"/>
    <col width="18" customWidth="1" min="5" max="5"/>
    <col width="28" customWidth="1" min="6" max="6"/>
    <col width="14" customWidth="1" min="7" max="7"/>
    <col width="22" customWidth="1" min="8" max="8"/>
    <col width="38" customWidth="1" min="9" max="9"/>
    <col width="28" customWidth="1" min="10" max="10"/>
    <col width="12" customWidth="1" min="11" max="11"/>
    <col width="18" customWidth="1" min="12" max="12"/>
    <col width="32" customWidth="1" min="13" max="13"/>
    <col width="20" customWidth="1" min="14" max="14"/>
    <col width="12" customWidth="1" min="15" max="15"/>
    <col width="40" customWidth="1" min="16" max="16"/>
    <col width="28" customWidth="1" min="17" max="17"/>
    <col width="16" customWidth="1" min="18" max="18"/>
    <col width="12" customWidth="1" min="19" max="19"/>
    <col width="45" customWidth="1" min="20" max="20"/>
    <col width="45" customWidth="1" min="21" max="21"/>
    <col width="35" customWidth="1" min="22" max="22"/>
    <col width="14" customWidth="1" min="23" max="23"/>
    <col width="24" customWidth="1" min="24" max="24"/>
    <col width="14" customWidth="1" min="25" max="25"/>
    <col width="16" customWidth="1" min="26" max="26"/>
    <col width="16" customWidth="1" min="27" max="27"/>
    <col width="16" customWidth="1" min="28" max="28"/>
    <col width="24" customWidth="1" min="29" max="29"/>
    <col width="14" customWidth="1" min="30" max="30"/>
    <col width="16" customWidth="1" min="31" max="31"/>
    <col width="16" customWidth="1" min="32" max="32"/>
    <col width="16" customWidth="1" min="33" max="33"/>
    <col width="24" customWidth="1" min="34" max="34"/>
    <col width="14" customWidth="1" min="35" max="35"/>
    <col width="16" customWidth="1" min="36" max="36"/>
    <col width="16" customWidth="1" min="37" max="37"/>
    <col width="16" customWidth="1" min="38" max="38"/>
    <col width="16" customWidth="1" min="39" max="39"/>
    <col width="22" customWidth="1" min="40" max="40"/>
    <col width="16" customWidth="1" min="41" max="41"/>
    <col width="16" customWidth="1" min="42" max="42"/>
  </cols>
  <sheetData>
    <row r="1" ht="28" customHeight="1">
      <c r="A1" s="4" t="inlineStr">
        <is>
          <t>Director</t>
        </is>
      </c>
      <c r="B1" s="4" t="inlineStr">
        <is>
          <t>Tier</t>
        </is>
      </c>
      <c r="C1" s="4" t="inlineStr">
        <is>
          <t>CareerPhase</t>
        </is>
      </c>
      <c r="D1" s="4" t="inlineStr">
        <is>
          <t>Region</t>
        </is>
      </c>
      <c r="E1" s="4" t="inlineStr">
        <is>
          <t>PrimaryLane</t>
        </is>
      </c>
      <c r="F1" s="4" t="inlineStr">
        <is>
          <t>SecondaryLanes</t>
        </is>
      </c>
      <c r="G1" s="4" t="inlineStr">
        <is>
          <t>ScaleProven</t>
        </is>
      </c>
      <c r="H1" s="4" t="inlineStr">
        <is>
          <t>TonalDNA</t>
        </is>
      </c>
      <c r="I1" s="4" t="inlineStr">
        <is>
          <t>Last3Features</t>
        </is>
      </c>
      <c r="J1" s="4" t="inlineStr">
        <is>
          <t>LastFilm</t>
        </is>
      </c>
      <c r="K1" s="4" t="inlineStr">
        <is>
          <t>LastFilmYear</t>
        </is>
      </c>
      <c r="L1" s="4" t="inlineStr">
        <is>
          <t>LastFilmType</t>
        </is>
      </c>
      <c r="M1" s="4" t="inlineStr">
        <is>
          <t>NextProject</t>
        </is>
      </c>
      <c r="N1" s="4" t="inlineStr">
        <is>
          <t>NextStatus</t>
        </is>
      </c>
      <c r="O1" s="4" t="inlineStr">
        <is>
          <t>ActorMagnet</t>
        </is>
      </c>
      <c r="P1" s="4" t="inlineStr">
        <is>
          <t>PackagingNotes</t>
        </is>
      </c>
      <c r="Q1" s="4" t="inlineStr">
        <is>
          <t>OpsNotes</t>
        </is>
      </c>
      <c r="R1" s="4" t="inlineStr">
        <is>
          <t>ResearchStatus</t>
        </is>
      </c>
      <c r="S1" s="4" t="inlineStr">
        <is>
          <t>SeededOn</t>
        </is>
      </c>
      <c r="T1" s="4" t="inlineStr">
        <is>
          <t>WikipediaSearch</t>
        </is>
      </c>
      <c r="U1" s="4" t="inlineStr">
        <is>
          <t>IMDbSearch</t>
        </is>
      </c>
      <c r="V1" s="14" t="inlineStr">
        <is>
          <t>TheNumbersURL</t>
        </is>
      </c>
      <c r="W1" s="14" t="inlineStr">
        <is>
          <t>Last3_Source</t>
        </is>
      </c>
      <c r="X1" s="14" t="inlineStr">
        <is>
          <t>Film1_Title</t>
        </is>
      </c>
      <c r="Y1" s="14" t="inlineStr">
        <is>
          <t>Film1_ReleaseDate</t>
        </is>
      </c>
      <c r="Z1" s="14" t="inlineStr">
        <is>
          <t>Film1_DomesticGrossUSD</t>
        </is>
      </c>
      <c r="AA1" s="14" t="inlineStr">
        <is>
          <t>Film1_IntlGrossUSD</t>
        </is>
      </c>
      <c r="AB1" s="14" t="inlineStr">
        <is>
          <t>Film1_WWGrossUSD</t>
        </is>
      </c>
      <c r="AC1" s="14" t="inlineStr">
        <is>
          <t>Film2_Title</t>
        </is>
      </c>
      <c r="AD1" s="14" t="inlineStr">
        <is>
          <t>Film2_ReleaseDate</t>
        </is>
      </c>
      <c r="AE1" s="14" t="inlineStr">
        <is>
          <t>Film2_DomesticGrossUSD</t>
        </is>
      </c>
      <c r="AF1" s="14" t="inlineStr">
        <is>
          <t>Film2_IntlGrossUSD</t>
        </is>
      </c>
      <c r="AG1" s="14" t="inlineStr">
        <is>
          <t>Film2_WWGrossUSD</t>
        </is>
      </c>
      <c r="AH1" s="14" t="inlineStr">
        <is>
          <t>Film3_Title</t>
        </is>
      </c>
      <c r="AI1" s="14" t="inlineStr">
        <is>
          <t>Film3_ReleaseDate</t>
        </is>
      </c>
      <c r="AJ1" s="14" t="inlineStr">
        <is>
          <t>Film3_DomesticGrossUSD</t>
        </is>
      </c>
      <c r="AK1" s="14" t="inlineStr">
        <is>
          <t>Film3_IntlGrossUSD</t>
        </is>
      </c>
      <c r="AL1" s="14" t="inlineStr">
        <is>
          <t>Film3_WWGrossUSD</t>
        </is>
      </c>
      <c r="AM1" s="14" t="inlineStr">
        <is>
          <t>LastFilmWWGrossUSD</t>
        </is>
      </c>
      <c r="AN1" s="14" t="inlineStr">
        <is>
          <t>BudgetBandTypical</t>
        </is>
      </c>
      <c r="AO1" s="14" t="inlineStr">
        <is>
          <t>BudgetBandLowUSD</t>
        </is>
      </c>
      <c r="AP1" s="14" t="inlineStr">
        <is>
          <t>BudgetBandHighUSD</t>
        </is>
      </c>
    </row>
    <row r="2">
      <c r="A2" s="5" t="inlineStr">
        <is>
          <t>Christopher Nolan</t>
        </is>
      </c>
      <c r="B2" s="5" t="inlineStr">
        <is>
          <t>T0</t>
        </is>
      </c>
      <c r="C2" s="5" t="inlineStr">
        <is>
          <t>Peak (Event filmmaker)</t>
        </is>
      </c>
      <c r="D2" s="5" t="inlineStr"/>
      <c r="E2" s="5" t="inlineStr">
        <is>
          <t>Epic drama / high-concept spectacle</t>
        </is>
      </c>
      <c r="F2" s="5" t="inlineStr">
        <is>
          <t>Historical, thriller</t>
        </is>
      </c>
      <c r="G2" s="5" t="inlineStr">
        <is>
          <t>$100M–$250M+</t>
        </is>
      </c>
      <c r="H2" s="5" t="inlineStr">
        <is>
          <t>Precision, IMAX spectacle, time/structure games</t>
        </is>
      </c>
      <c r="I2" s="5" t="inlineStr">
        <is>
          <t>Oppenheimer (2023); Tenet (2020); Dunkirk (2017)</t>
        </is>
      </c>
      <c r="J2" s="5" t="inlineStr">
        <is>
          <t>Oppenheimer</t>
        </is>
      </c>
      <c r="K2" s="5" t="n">
        <v>2023</v>
      </c>
      <c r="L2" s="5" t="inlineStr">
        <is>
          <t>Theatrical</t>
        </is>
      </c>
      <c r="M2" s="5" t="inlineStr">
        <is>
          <t>The Odyssey</t>
        </is>
      </c>
      <c r="N2" s="5" t="inlineStr">
        <is>
          <t>Post-production/announced release</t>
        </is>
      </c>
      <c r="O2" s="5" t="n">
        <v>5</v>
      </c>
      <c r="P2" s="5" t="inlineStr">
        <is>
          <t>Can attract A-list and premium formats; schedule locked to July 2026 release.</t>
        </is>
      </c>
      <c r="Q2" s="5" t="inlineStr">
        <is>
          <t>Long prep/post; prefers high control and specific formats.</t>
        </is>
      </c>
      <c r="R2" s="5" t="inlineStr">
        <is>
          <t>In TOP sheet</t>
        </is>
      </c>
      <c r="S2" s="5" t="inlineStr">
        <is>
          <t>2026-01-29</t>
        </is>
      </c>
      <c r="T2" s="5" t="inlineStr">
        <is>
          <t>https://en.wikipedia.org/w/index.php?search=Christopher+Nolan</t>
        </is>
      </c>
      <c r="U2" s="5" t="inlineStr">
        <is>
          <t>https://www.imdb.com/find/?q=Christopher+Nolan&amp;s=nm</t>
        </is>
      </c>
      <c r="V2" t="inlineStr">
        <is>
          <t>https://www.the-numbers.com/person/106410401-Christopher-Nolan</t>
        </is>
      </c>
      <c r="W2" t="inlineStr">
        <is>
          <t>The Numbers</t>
        </is>
      </c>
      <c r="X2" t="inlineStr">
        <is>
          <t>Oppenheimer</t>
        </is>
      </c>
      <c r="Y2" t="inlineStr">
        <is>
          <t>Jul 21, 2023</t>
        </is>
      </c>
      <c r="Z2" s="19" t="n">
        <v>330078895</v>
      </c>
      <c r="AA2" s="19" t="n">
        <v>646678360</v>
      </c>
      <c r="AB2" s="19" t="n">
        <v>976757255</v>
      </c>
      <c r="AC2" t="inlineStr">
        <is>
          <t>Tenet</t>
        </is>
      </c>
      <c r="AD2" t="inlineStr">
        <is>
          <t>Sep 3, 2020</t>
        </is>
      </c>
      <c r="AE2" s="19" t="n">
        <v>59473550</v>
      </c>
      <c r="AF2" s="19" t="n">
        <v>306800000</v>
      </c>
      <c r="AG2" s="19" t="n">
        <v>366273550</v>
      </c>
      <c r="AH2" t="inlineStr">
        <is>
          <t>Dunkirk</t>
        </is>
      </c>
      <c r="AI2" t="inlineStr">
        <is>
          <t>Jul 21, 2017</t>
        </is>
      </c>
      <c r="AJ2" s="19" t="n">
        <v>190068280</v>
      </c>
      <c r="AK2" s="19" t="n">
        <v>338000000</v>
      </c>
      <c r="AL2" s="19" t="n">
        <v>528068280</v>
      </c>
      <c r="AM2" s="19" t="n">
        <v>976757255</v>
      </c>
      <c r="AO2" s="19">
        <f>IFERROR(VLOOKUP(AN2,BUDGET_BANDS!$A$2:$C$9,2,FALSE),"")</f>
        <v/>
      </c>
      <c r="AP2" s="19">
        <f>IFERROR(VLOOKUP(AN2,BUDGET_BANDS!$A$2:$C$9,3,FALSE),"")</f>
        <v/>
      </c>
    </row>
    <row r="3">
      <c r="A3" s="5" t="inlineStr">
        <is>
          <t>Denis Villeneuve</t>
        </is>
      </c>
      <c r="B3" s="5" t="inlineStr">
        <is>
          <t>T0</t>
        </is>
      </c>
      <c r="C3" s="5" t="inlineStr">
        <is>
          <t>Peak (Prestige + tentpole)</t>
        </is>
      </c>
      <c r="D3" s="5" t="inlineStr"/>
      <c r="E3" s="5" t="inlineStr">
        <is>
          <t>Sci-fi / epic worldbuilding</t>
        </is>
      </c>
      <c r="F3" s="5" t="inlineStr">
        <is>
          <t>Thriller, drama</t>
        </is>
      </c>
      <c r="G3" s="5" t="inlineStr">
        <is>
          <t>$100M–$200M+</t>
        </is>
      </c>
      <c r="H3" s="5" t="inlineStr">
        <is>
          <t>Atmospheric, austere, grounded scale</t>
        </is>
      </c>
      <c r="I3" s="5" t="inlineStr">
        <is>
          <t>Dune: Part Two (2024); Dune (2021); Blade Runner 2049 (2017)</t>
        </is>
      </c>
      <c r="J3" s="5" t="inlineStr">
        <is>
          <t>Dune: Part Two</t>
        </is>
      </c>
      <c r="K3" s="5" t="n">
        <v>2024</v>
      </c>
      <c r="L3" s="5" t="inlineStr">
        <is>
          <t>Theatrical</t>
        </is>
      </c>
      <c r="M3" s="5" t="inlineStr">
        <is>
          <t>James Bond (next film) / Dune: Part Three</t>
        </is>
      </c>
      <c r="N3" s="5" t="inlineStr">
        <is>
          <t>Announced / in development</t>
        </is>
      </c>
      <c r="O3" s="5" t="n">
        <v>5</v>
      </c>
      <c r="P3" s="5" t="inlineStr">
        <is>
          <t>Bankable for elevated sci-fi/action; high studio alignment; schedule likely locked.</t>
        </is>
      </c>
      <c r="Q3" s="5" t="inlineStr">
        <is>
          <t>Large-scale VFX and long post cycles common.</t>
        </is>
      </c>
      <c r="R3" s="5" t="inlineStr">
        <is>
          <t>In TOP sheet</t>
        </is>
      </c>
      <c r="S3" s="5" t="inlineStr">
        <is>
          <t>2026-01-29</t>
        </is>
      </c>
      <c r="T3" s="5" t="inlineStr">
        <is>
          <t>https://en.wikipedia.org/w/index.php?search=Denis+Villeneuve</t>
        </is>
      </c>
      <c r="U3" s="5" t="inlineStr">
        <is>
          <t>https://www.imdb.com/find/?q=Denis+Villeneuve&amp;s=nm</t>
        </is>
      </c>
      <c r="V3" t="inlineStr">
        <is>
          <t>https://www.the-numbers.com/person/447440401-Denis-Villeneuve</t>
        </is>
      </c>
      <c r="W3" t="inlineStr">
        <is>
          <t>The Numbers</t>
        </is>
      </c>
      <c r="X3" t="inlineStr">
        <is>
          <t>Dune: Part Two</t>
        </is>
      </c>
      <c r="Y3" t="inlineStr">
        <is>
          <t>Mar 1, 2024</t>
        </is>
      </c>
      <c r="Z3" s="19" t="n">
        <v>282709065</v>
      </c>
      <c r="AA3" s="19" t="n">
        <v>432497130</v>
      </c>
      <c r="AB3" s="19" t="n">
        <v>715206195</v>
      </c>
      <c r="AC3" t="inlineStr">
        <is>
          <t>Dune</t>
        </is>
      </c>
      <c r="AD3" t="inlineStr">
        <is>
          <t>Oct 22, 2021</t>
        </is>
      </c>
      <c r="AE3" s="19" t="n">
        <v>111031267</v>
      </c>
      <c r="AF3" s="19" t="n">
        <v>318518799</v>
      </c>
      <c r="AG3" s="19" t="n">
        <v>429550066</v>
      </c>
      <c r="AH3" t="inlineStr">
        <is>
          <t>Blade Runner 2049</t>
        </is>
      </c>
      <c r="AI3" t="inlineStr">
        <is>
          <t>Oct 6, 2017</t>
        </is>
      </c>
      <c r="AJ3" s="19" t="n">
        <v>92054159</v>
      </c>
      <c r="AK3" s="19" t="n">
        <v>167100000</v>
      </c>
      <c r="AL3" s="19" t="n">
        <v>259154159</v>
      </c>
      <c r="AM3" s="19" t="n">
        <v>715206195</v>
      </c>
      <c r="AO3" s="19">
        <f>IFERROR(VLOOKUP(AN3,BUDGET_BANDS!$A$2:$C$9,2,FALSE),"")</f>
        <v/>
      </c>
      <c r="AP3" s="19">
        <f>IFERROR(VLOOKUP(AN3,BUDGET_BANDS!$A$2:$C$9,3,FALSE),"")</f>
        <v/>
      </c>
    </row>
    <row r="4">
      <c r="A4" s="5" t="inlineStr">
        <is>
          <t>Greta Gerwig</t>
        </is>
      </c>
      <c r="B4" s="5" t="inlineStr">
        <is>
          <t>T0</t>
        </is>
      </c>
      <c r="C4" s="5" t="inlineStr">
        <is>
          <t>Peak (IP + auteur)</t>
        </is>
      </c>
      <c r="D4" s="5" t="inlineStr"/>
      <c r="E4" s="5" t="inlineStr">
        <is>
          <t>Comedy/drama with strong voice; IP reinvention</t>
        </is>
      </c>
      <c r="F4" s="5" t="inlineStr">
        <is>
          <t>Fantasy</t>
        </is>
      </c>
      <c r="G4" s="5" t="inlineStr">
        <is>
          <t>$50M–$200M</t>
        </is>
      </c>
      <c r="H4" s="5" t="inlineStr">
        <is>
          <t>Character-forward, witty, empathetic</t>
        </is>
      </c>
      <c r="I4" s="5" t="inlineStr">
        <is>
          <t>Barbie (2023); Little Women (2019); Lady Bird (2017)</t>
        </is>
      </c>
      <c r="J4" s="5" t="inlineStr">
        <is>
          <t>Barbie</t>
        </is>
      </c>
      <c r="K4" s="5" t="n">
        <v>2023</v>
      </c>
      <c r="L4" s="5" t="inlineStr">
        <is>
          <t>Theatrical</t>
        </is>
      </c>
      <c r="M4" s="5" t="inlineStr">
        <is>
          <t>Narnia: The Magician's Nephew</t>
        </is>
      </c>
      <c r="N4" s="5" t="inlineStr">
        <is>
          <t>Announced / pre-production</t>
        </is>
      </c>
      <c r="O4" s="5" t="n">
        <v>5</v>
      </c>
      <c r="P4" s="5" t="inlineStr">
        <is>
          <t>Strong actor/brand magnet; lanes beyond comedy now include big fantasy.</t>
        </is>
      </c>
      <c r="Q4" s="5" t="inlineStr">
        <is>
          <t>Likely high creative control; talent-heavy ensembles.</t>
        </is>
      </c>
      <c r="R4" s="5" t="inlineStr">
        <is>
          <t>In TOP sheet</t>
        </is>
      </c>
      <c r="S4" s="5" t="inlineStr">
        <is>
          <t>2026-01-29</t>
        </is>
      </c>
      <c r="T4" s="5" t="inlineStr">
        <is>
          <t>https://en.wikipedia.org/w/index.php?search=Greta+Gerwig</t>
        </is>
      </c>
      <c r="U4" s="5" t="inlineStr">
        <is>
          <t>https://www.imdb.com/find/?q=Greta+Gerwig&amp;s=nm</t>
        </is>
      </c>
      <c r="V4" t="inlineStr">
        <is>
          <t>https://www.the-numbers.com/person/54050401-Greta-Gerwig</t>
        </is>
      </c>
      <c r="W4" t="inlineStr">
        <is>
          <t>The Numbers</t>
        </is>
      </c>
      <c r="X4" t="inlineStr">
        <is>
          <t>Barbie</t>
        </is>
      </c>
      <c r="Y4" t="inlineStr">
        <is>
          <t>Jul 21, 2023</t>
        </is>
      </c>
      <c r="Z4" s="19" t="n">
        <v>636785476</v>
      </c>
      <c r="AA4" s="19" t="n">
        <v>810900000</v>
      </c>
      <c r="AB4" s="19" t="n">
        <v>1447685476</v>
      </c>
      <c r="AC4" t="inlineStr">
        <is>
          <t>Little Women</t>
        </is>
      </c>
      <c r="AD4" t="inlineStr">
        <is>
          <t>Dec 25, 2019</t>
        </is>
      </c>
      <c r="AE4" s="19" t="n">
        <v>108095955</v>
      </c>
      <c r="AF4" s="19" t="n">
        <v>110742431</v>
      </c>
      <c r="AG4" s="19" t="n">
        <v>218838386</v>
      </c>
      <c r="AH4" t="inlineStr">
        <is>
          <t>Lady Bird</t>
        </is>
      </c>
      <c r="AI4" t="inlineStr">
        <is>
          <t>Nov 3, 2017</t>
        </is>
      </c>
      <c r="AJ4" s="19" t="n">
        <v>48958273</v>
      </c>
      <c r="AK4" s="19" t="n">
        <v>31150209</v>
      </c>
      <c r="AL4" s="19" t="n">
        <v>80108482</v>
      </c>
      <c r="AM4" s="19" t="n">
        <v>1447685476</v>
      </c>
      <c r="AO4" s="19">
        <f>IFERROR(VLOOKUP(AN4,BUDGET_BANDS!$A$2:$C$9,2,FALSE),"")</f>
        <v/>
      </c>
      <c r="AP4" s="19">
        <f>IFERROR(VLOOKUP(AN4,BUDGET_BANDS!$A$2:$C$9,3,FALSE),"")</f>
        <v/>
      </c>
    </row>
    <row r="5">
      <c r="A5" s="5" t="inlineStr">
        <is>
          <t>James Gunn</t>
        </is>
      </c>
      <c r="B5" s="5" t="inlineStr">
        <is>
          <t>T0</t>
        </is>
      </c>
      <c r="C5" s="5" t="inlineStr">
        <is>
          <t>Peak (franchise architect + director)</t>
        </is>
      </c>
      <c r="D5" s="5" t="inlineStr"/>
      <c r="E5" s="5" t="inlineStr">
        <is>
          <t>Superhero / big ensemble action-comedy</t>
        </is>
      </c>
      <c r="F5" s="5" t="inlineStr">
        <is>
          <t>Genre comedy</t>
        </is>
      </c>
      <c r="G5" s="5" t="inlineStr">
        <is>
          <t>$150M–$225M+</t>
        </is>
      </c>
      <c r="H5" s="5" t="inlineStr">
        <is>
          <t>Heart + humor, weirdness, ensemble dynamics</t>
        </is>
      </c>
      <c r="I5" s="5" t="inlineStr">
        <is>
          <t>Superman (2025); Guardians of the Galaxy Vol 3 (2023); The Suicide Squad (2021)</t>
        </is>
      </c>
      <c r="J5" s="5" t="inlineStr">
        <is>
          <t>Superman</t>
        </is>
      </c>
      <c r="K5" s="5" t="n">
        <v>2025</v>
      </c>
      <c r="L5" s="5" t="inlineStr">
        <is>
          <t>Theatrical</t>
        </is>
      </c>
      <c r="M5" s="5" t="inlineStr">
        <is>
          <t>Man of Tomorrow (Super-Family follow-up)</t>
        </is>
      </c>
      <c r="N5" s="5" t="inlineStr">
        <is>
          <t>Announced / in development</t>
        </is>
      </c>
      <c r="O5" s="5" t="n">
        <v>5</v>
      </c>
      <c r="P5" s="5" t="inlineStr">
        <is>
          <t>Extremely strong studio leverage; schedule largely committed.</t>
        </is>
      </c>
      <c r="Q5" s="5" t="inlineStr">
        <is>
          <t>Runs studio + directs—availability is the bottleneck.</t>
        </is>
      </c>
      <c r="R5" s="5" t="inlineStr">
        <is>
          <t>In TOP sheet</t>
        </is>
      </c>
      <c r="S5" s="5" t="inlineStr">
        <is>
          <t>2026-01-29</t>
        </is>
      </c>
      <c r="T5" s="5" t="inlineStr">
        <is>
          <t>https://en.wikipedia.org/w/index.php?search=James+Gunn</t>
        </is>
      </c>
      <c r="U5" s="5" t="inlineStr">
        <is>
          <t>https://www.imdb.com/find/?q=James+Gunn&amp;s=nm</t>
        </is>
      </c>
      <c r="V5" t="inlineStr">
        <is>
          <t>https://www.the-numbers.com/person/59460401-James-Gunn</t>
        </is>
      </c>
      <c r="W5" t="inlineStr">
        <is>
          <t>The Numbers</t>
        </is>
      </c>
      <c r="X5" t="inlineStr">
        <is>
          <t>Superman</t>
        </is>
      </c>
      <c r="Y5" t="inlineStr">
        <is>
          <t>Jul 11, 2025</t>
        </is>
      </c>
      <c r="Z5" s="19" t="n">
        <v>354223803</v>
      </c>
      <c r="AA5" s="19" t="n">
        <v>262600000</v>
      </c>
      <c r="AB5" s="19" t="n">
        <v>616823803</v>
      </c>
      <c r="AC5" t="inlineStr">
        <is>
          <t>Guardians of the Galaxy Vol 3</t>
        </is>
      </c>
      <c r="AD5" t="inlineStr">
        <is>
          <t>May 5, 2023</t>
        </is>
      </c>
      <c r="AE5" s="19" t="n">
        <v>358995815</v>
      </c>
      <c r="AF5" s="19" t="n">
        <v>486559962</v>
      </c>
      <c r="AG5" s="19" t="n">
        <v>845555777</v>
      </c>
      <c r="AH5" t="inlineStr">
        <is>
          <t>The Suicide Squad</t>
        </is>
      </c>
      <c r="AI5" t="inlineStr">
        <is>
          <t>Aug 5, 2021</t>
        </is>
      </c>
      <c r="AJ5" s="19" t="n">
        <v>55817425</v>
      </c>
      <c r="AK5" s="19" t="n">
        <v>112900000</v>
      </c>
      <c r="AL5" s="19" t="n">
        <v>168717425</v>
      </c>
      <c r="AM5" s="19" t="n">
        <v>616823803</v>
      </c>
      <c r="AO5" s="19">
        <f>IFERROR(VLOOKUP(AN5,BUDGET_BANDS!$A$2:$C$9,2,FALSE),"")</f>
        <v/>
      </c>
      <c r="AP5" s="19">
        <f>IFERROR(VLOOKUP(AN5,BUDGET_BANDS!$A$2:$C$9,3,FALSE),"")</f>
        <v/>
      </c>
    </row>
    <row r="6">
      <c r="A6" s="5" t="inlineStr">
        <is>
          <t>Martin Scorsese</t>
        </is>
      </c>
      <c r="B6" s="5" t="inlineStr">
        <is>
          <t>T0</t>
        </is>
      </c>
      <c r="C6" s="5" t="inlineStr">
        <is>
          <t>Legacy peak</t>
        </is>
      </c>
      <c r="D6" s="5" t="inlineStr"/>
      <c r="E6" s="5" t="inlineStr">
        <is>
          <t>Crime / prestige drama</t>
        </is>
      </c>
      <c r="F6" s="5" t="inlineStr">
        <is>
          <t>Historical epic</t>
        </is>
      </c>
      <c r="G6" s="5" t="inlineStr">
        <is>
          <t>$50M–$200M</t>
        </is>
      </c>
      <c r="H6" s="5" t="inlineStr">
        <is>
          <t>Character + moral complexity</t>
        </is>
      </c>
      <c r="I6" s="5" t="inlineStr">
        <is>
          <t>Killers of the Flower Moon (2023); The Irishman (2019); Silence (2016)</t>
        </is>
      </c>
      <c r="J6" s="5" t="inlineStr">
        <is>
          <t>Killers of the Flower Moon</t>
        </is>
      </c>
      <c r="K6" s="5" t="n">
        <v>2023</v>
      </c>
      <c r="L6" s="5" t="inlineStr">
        <is>
          <t>Theatrical+streamer</t>
        </is>
      </c>
      <c r="M6" s="5" t="inlineStr">
        <is>
          <t>What Happens at Night</t>
        </is>
      </c>
      <c r="N6" s="5" t="inlineStr">
        <is>
          <t>Announced</t>
        </is>
      </c>
      <c r="O6" s="5" t="n">
        <v>5</v>
      </c>
      <c r="P6" s="5" t="inlineStr">
        <is>
          <t>Top prestige attachment; often talent-driven packages.</t>
        </is>
      </c>
      <c r="Q6" s="5" t="inlineStr">
        <is>
          <t>Long runtimes/edits; schedule depends on lead talent.</t>
        </is>
      </c>
      <c r="R6" s="5" t="inlineStr">
        <is>
          <t>In TOP sheet</t>
        </is>
      </c>
      <c r="S6" s="5" t="inlineStr">
        <is>
          <t>2026-01-29</t>
        </is>
      </c>
      <c r="T6" s="5" t="inlineStr">
        <is>
          <t>https://en.wikipedia.org/w/index.php?search=Martin+Scorsese</t>
        </is>
      </c>
      <c r="U6" s="5" t="inlineStr">
        <is>
          <t>https://www.imdb.com/find/?q=Martin+Scorsese&amp;s=nm</t>
        </is>
      </c>
      <c r="AO6" s="19">
        <f>IFERROR(VLOOKUP(AN6,BUDGET_BANDS!$A$2:$C$9,2,FALSE),"")</f>
        <v/>
      </c>
      <c r="AP6" s="19">
        <f>IFERROR(VLOOKUP(AN6,BUDGET_BANDS!$A$2:$C$9,3,FALSE),"")</f>
        <v/>
      </c>
    </row>
    <row r="7">
      <c r="A7" s="5" t="inlineStr">
        <is>
          <t>Matt Reeves</t>
        </is>
      </c>
      <c r="B7" s="5" t="inlineStr">
        <is>
          <t>T0</t>
        </is>
      </c>
      <c r="C7" s="5" t="inlineStr">
        <is>
          <t>Peak (franchise + auteur)</t>
        </is>
      </c>
      <c r="D7" s="5" t="inlineStr"/>
      <c r="E7" s="5" t="inlineStr">
        <is>
          <t>Dark franchise thriller</t>
        </is>
      </c>
      <c r="F7" s="5" t="inlineStr">
        <is>
          <t>Sci-fi, drama</t>
        </is>
      </c>
      <c r="G7" s="5" t="inlineStr">
        <is>
          <t>$100M–$200M</t>
        </is>
      </c>
      <c r="H7" s="5" t="inlineStr">
        <is>
          <t>Noir mood, grounded intensity</t>
        </is>
      </c>
      <c r="I7" s="5" t="inlineStr">
        <is>
          <t>The Batman (2022); War for the Planet of the Apes (2017); Dawn of the Planet of the Apes (2014)</t>
        </is>
      </c>
      <c r="J7" s="5" t="inlineStr">
        <is>
          <t>The Batman</t>
        </is>
      </c>
      <c r="K7" s="5" t="n">
        <v>2022</v>
      </c>
      <c r="L7" s="5" t="inlineStr">
        <is>
          <t>Theatrical</t>
        </is>
      </c>
      <c r="M7" s="5" t="inlineStr">
        <is>
          <t>The Batman: Part II</t>
        </is>
      </c>
      <c r="N7" s="5" t="inlineStr">
        <is>
          <t>Announced; filming spring 2026 (reported)</t>
        </is>
      </c>
      <c r="O7" s="5" t="n">
        <v>4</v>
      </c>
      <c r="P7" s="5" t="inlineStr">
        <is>
          <t>Strong tonal franchise; likely unavailable through production.</t>
        </is>
      </c>
      <c r="Q7" s="5" t="inlineStr">
        <is>
          <t>Long dev cycles; careful worldbuilding.</t>
        </is>
      </c>
      <c r="R7" s="5" t="inlineStr">
        <is>
          <t>In TOP sheet</t>
        </is>
      </c>
      <c r="S7" s="5" t="inlineStr">
        <is>
          <t>2026-01-29</t>
        </is>
      </c>
      <c r="T7" s="5" t="inlineStr">
        <is>
          <t>https://en.wikipedia.org/w/index.php?search=Matt+Reeves</t>
        </is>
      </c>
      <c r="U7" s="5" t="inlineStr">
        <is>
          <t>https://www.imdb.com/find/?q=Matt+Reeves&amp;s=nm</t>
        </is>
      </c>
      <c r="AO7" s="19">
        <f>IFERROR(VLOOKUP(AN7,BUDGET_BANDS!$A$2:$C$9,2,FALSE),"")</f>
        <v/>
      </c>
      <c r="AP7" s="19">
        <f>IFERROR(VLOOKUP(AN7,BUDGET_BANDS!$A$2:$C$9,3,FALSE),"")</f>
        <v/>
      </c>
    </row>
    <row r="8">
      <c r="A8" s="5" t="inlineStr">
        <is>
          <t>Ridley Scott</t>
        </is>
      </c>
      <c r="B8" s="5" t="inlineStr">
        <is>
          <t>T0</t>
        </is>
      </c>
      <c r="C8" s="5" t="inlineStr">
        <is>
          <t>Established (high output)</t>
        </is>
      </c>
      <c r="D8" s="5" t="inlineStr"/>
      <c r="E8" s="5" t="inlineStr">
        <is>
          <t>Epic / historical / sci-fi</t>
        </is>
      </c>
      <c r="F8" s="5" t="inlineStr">
        <is>
          <t>Thriller</t>
        </is>
      </c>
      <c r="G8" s="5" t="inlineStr">
        <is>
          <t>$50M–$300M+</t>
        </is>
      </c>
      <c r="H8" s="5" t="inlineStr">
        <is>
          <t>Classical spectacle, muscular drama</t>
        </is>
      </c>
      <c r="I8" s="5" t="inlineStr">
        <is>
          <t>Gladiator II (2024); Napoleon (2023); The Last Duel (2021)</t>
        </is>
      </c>
      <c r="J8" s="5" t="inlineStr">
        <is>
          <t>Gladiator II</t>
        </is>
      </c>
      <c r="K8" s="5" t="n">
        <v>2024</v>
      </c>
      <c r="L8" s="5" t="inlineStr">
        <is>
          <t>Theatrical</t>
        </is>
      </c>
      <c r="M8" s="5" t="inlineStr">
        <is>
          <t>The Dog Stars</t>
        </is>
      </c>
      <c r="N8" s="5" t="inlineStr">
        <is>
          <t>Scheduled</t>
        </is>
      </c>
      <c r="O8" s="5" t="n">
        <v>4</v>
      </c>
      <c r="P8" s="5" t="inlineStr">
        <is>
          <t>Can mount big productions; often multiple projects in flight.</t>
        </is>
      </c>
      <c r="Q8" s="5" t="inlineStr">
        <is>
          <t>High output but large logistics; schedule can shift.</t>
        </is>
      </c>
      <c r="R8" s="5" t="inlineStr">
        <is>
          <t>In TOP sheet</t>
        </is>
      </c>
      <c r="S8" s="5" t="inlineStr">
        <is>
          <t>2026-01-29</t>
        </is>
      </c>
      <c r="T8" s="5" t="inlineStr">
        <is>
          <t>https://en.wikipedia.org/w/index.php?search=Ridley+Scott</t>
        </is>
      </c>
      <c r="U8" s="5" t="inlineStr">
        <is>
          <t>https://www.imdb.com/find/?q=Ridley+Scott&amp;s=nm</t>
        </is>
      </c>
      <c r="AO8" s="19">
        <f>IFERROR(VLOOKUP(AN8,BUDGET_BANDS!$A$2:$C$9,2,FALSE),"")</f>
        <v/>
      </c>
      <c r="AP8" s="19">
        <f>IFERROR(VLOOKUP(AN8,BUDGET_BANDS!$A$2:$C$9,3,FALSE),"")</f>
        <v/>
      </c>
    </row>
    <row r="9">
      <c r="A9" s="5" t="inlineStr">
        <is>
          <t>Shawn Levy</t>
        </is>
      </c>
      <c r="B9" s="5" t="inlineStr">
        <is>
          <t>T0</t>
        </is>
      </c>
      <c r="C9" s="5" t="inlineStr">
        <is>
          <t>Peak (studio event + IP)</t>
        </is>
      </c>
      <c r="D9" s="5" t="inlineStr"/>
      <c r="E9" s="5" t="inlineStr">
        <is>
          <t>Commercial action/adventure comedy</t>
        </is>
      </c>
      <c r="F9" s="5" t="inlineStr">
        <is>
          <t>Sci-fi, franchise</t>
        </is>
      </c>
      <c r="G9" s="5" t="inlineStr">
        <is>
          <t>$100M–$250M+</t>
        </is>
      </c>
      <c r="H9" s="5" t="inlineStr">
        <is>
          <t>Big-hearted crowd-pleaser</t>
        </is>
      </c>
      <c r="I9" s="5" t="inlineStr">
        <is>
          <t>Deadpool &amp; Wolverine (2024); The Adam Project (2022); Free Guy (2021)</t>
        </is>
      </c>
      <c r="J9" s="5" t="inlineStr">
        <is>
          <t>Deadpool &amp; Wolverine</t>
        </is>
      </c>
      <c r="K9" s="5" t="n">
        <v>2024</v>
      </c>
      <c r="L9" s="5" t="inlineStr">
        <is>
          <t>Theatrical</t>
        </is>
      </c>
      <c r="M9" s="5" t="inlineStr">
        <is>
          <t>Star Wars: Starfighter</t>
        </is>
      </c>
      <c r="N9" s="5" t="inlineStr">
        <is>
          <t>Post-production (filming wrapped Dec 2025)</t>
        </is>
      </c>
      <c r="O9" s="5" t="n">
        <v>5</v>
      </c>
      <c r="P9" s="5" t="inlineStr">
        <is>
          <t>Top-tier commercial attachment; schedule tied to SW post pipeline.</t>
        </is>
      </c>
      <c r="Q9" s="5" t="inlineStr">
        <is>
          <t>Large VFX post; Disney/Lucasfilm process.</t>
        </is>
      </c>
      <c r="R9" s="5" t="inlineStr">
        <is>
          <t>In TOP sheet</t>
        </is>
      </c>
      <c r="S9" s="5" t="inlineStr">
        <is>
          <t>2026-01-29</t>
        </is>
      </c>
      <c r="T9" s="5" t="inlineStr">
        <is>
          <t>https://en.wikipedia.org/w/index.php?search=Shawn+Levy</t>
        </is>
      </c>
      <c r="U9" s="5" t="inlineStr">
        <is>
          <t>https://www.imdb.com/find/?q=Shawn+Levy&amp;s=nm</t>
        </is>
      </c>
      <c r="AO9" s="19">
        <f>IFERROR(VLOOKUP(AN9,BUDGET_BANDS!$A$2:$C$9,2,FALSE),"")</f>
        <v/>
      </c>
      <c r="AP9" s="19">
        <f>IFERROR(VLOOKUP(AN9,BUDGET_BANDS!$A$2:$C$9,3,FALSE),"")</f>
        <v/>
      </c>
    </row>
    <row r="10">
      <c r="A10" s="5" t="inlineStr">
        <is>
          <t>Barry Jenkins</t>
        </is>
      </c>
      <c r="B10" s="5" t="inlineStr">
        <is>
          <t>T1</t>
        </is>
      </c>
      <c r="C10" s="5" t="inlineStr">
        <is>
          <t>Peak (prestige + Disney scale)</t>
        </is>
      </c>
      <c r="D10" s="5" t="inlineStr"/>
      <c r="E10" s="5" t="inlineStr">
        <is>
          <t>Character drama</t>
        </is>
      </c>
      <c r="F10" s="5" t="inlineStr">
        <is>
          <t>Family musical (CG), sci-fi thriller (next)</t>
        </is>
      </c>
      <c r="G10" s="5" t="inlineStr">
        <is>
          <t>$30M–$200M</t>
        </is>
      </c>
      <c r="H10" s="5" t="inlineStr">
        <is>
          <t>Emotional intimacy, lyrical imagery</t>
        </is>
      </c>
      <c r="I10" s="5" t="inlineStr">
        <is>
          <t>Mufasa: The Lion King (2024); If Beale Street Could Talk (2018); Moonlight (2016)</t>
        </is>
      </c>
      <c r="J10" s="5" t="inlineStr">
        <is>
          <t>Mufasa: The Lion King</t>
        </is>
      </c>
      <c r="K10" s="5" t="n">
        <v>2024</v>
      </c>
      <c r="L10" s="5" t="inlineStr">
        <is>
          <t>Theatrical</t>
        </is>
      </c>
      <c r="M10" s="5" t="inlineStr">
        <is>
          <t>The Natural Order</t>
        </is>
      </c>
      <c r="N10" s="5" t="inlineStr">
        <is>
          <t>In talks / announced package</t>
        </is>
      </c>
      <c r="O10" s="5" t="n">
        <v>4</v>
      </c>
      <c r="P10" s="5" t="inlineStr">
        <is>
          <t>Can bridge prestige to commercial; actors respond.</t>
        </is>
      </c>
      <c r="Q10" s="5" t="inlineStr">
        <is>
          <t>Lane varies widely depending on project scale.</t>
        </is>
      </c>
      <c r="R10" s="5" t="inlineStr">
        <is>
          <t>In TOP sheet</t>
        </is>
      </c>
      <c r="S10" s="5" t="inlineStr">
        <is>
          <t>2026-01-29</t>
        </is>
      </c>
      <c r="T10" s="5" t="inlineStr">
        <is>
          <t>https://en.wikipedia.org/w/index.php?search=Barry+Jenkins</t>
        </is>
      </c>
      <c r="U10" s="5" t="inlineStr">
        <is>
          <t>https://www.imdb.com/find/?q=Barry+Jenkins&amp;s=nm</t>
        </is>
      </c>
      <c r="AO10" s="19">
        <f>IFERROR(VLOOKUP(AN10,BUDGET_BANDS!$A$2:$C$9,2,FALSE),"")</f>
        <v/>
      </c>
      <c r="AP10" s="19">
        <f>IFERROR(VLOOKUP(AN10,BUDGET_BANDS!$A$2:$C$9,3,FALSE),"")</f>
        <v/>
      </c>
    </row>
    <row r="11">
      <c r="A11" s="5" t="inlineStr">
        <is>
          <t>Bong Joon Ho</t>
        </is>
      </c>
      <c r="B11" s="5" t="inlineStr">
        <is>
          <t>T1</t>
        </is>
      </c>
      <c r="C11" s="5" t="inlineStr">
        <is>
          <t>Established (international event auteur)</t>
        </is>
      </c>
      <c r="D11" s="5" t="inlineStr"/>
      <c r="E11" s="5" t="inlineStr">
        <is>
          <t>Satirical genre blends</t>
        </is>
      </c>
      <c r="F11" s="5" t="inlineStr">
        <is>
          <t>Sci-fi, thriller</t>
        </is>
      </c>
      <c r="G11" s="5" t="inlineStr">
        <is>
          <t>$30M–$120M</t>
        </is>
      </c>
      <c r="H11" s="5" t="inlineStr">
        <is>
          <t>Dark humor, class politics, tonal pivots</t>
        </is>
      </c>
      <c r="I11" s="5" t="inlineStr">
        <is>
          <t>Mickey 17 (2025); Parasite (2019); Okja (2017)</t>
        </is>
      </c>
      <c r="J11" s="5" t="inlineStr">
        <is>
          <t>Mickey 17</t>
        </is>
      </c>
      <c r="K11" s="5" t="n">
        <v>2025</v>
      </c>
      <c r="L11" s="5" t="inlineStr">
        <is>
          <t>Theatrical</t>
        </is>
      </c>
      <c r="M11" s="5" t="inlineStr">
        <is>
          <t>Untitled animated film (in progress)</t>
        </is>
      </c>
      <c r="N11" s="5" t="inlineStr">
        <is>
          <t>In development/production (reported)</t>
        </is>
      </c>
      <c r="O11" s="5" t="n">
        <v>4</v>
      </c>
      <c r="P11" s="5" t="inlineStr">
        <is>
          <t>High prestige; language/market considerations; next project long-horizon.</t>
        </is>
      </c>
      <c r="Q11" s="5" t="inlineStr">
        <is>
          <t>Complex VFX and post cycles.</t>
        </is>
      </c>
      <c r="R11" s="5" t="inlineStr">
        <is>
          <t>In TOP sheet</t>
        </is>
      </c>
      <c r="S11" s="5" t="inlineStr">
        <is>
          <t>2026-01-29</t>
        </is>
      </c>
      <c r="T11" s="5" t="inlineStr">
        <is>
          <t>https://en.wikipedia.org/w/index.php?search=Bong+Joon+Ho</t>
        </is>
      </c>
      <c r="U11" s="5" t="inlineStr">
        <is>
          <t>https://www.imdb.com/find/?q=Bong+Joon+Ho&amp;s=nm</t>
        </is>
      </c>
      <c r="AO11" s="19">
        <f>IFERROR(VLOOKUP(AN11,BUDGET_BANDS!$A$2:$C$9,2,FALSE),"")</f>
        <v/>
      </c>
      <c r="AP11" s="19">
        <f>IFERROR(VLOOKUP(AN11,BUDGET_BANDS!$A$2:$C$9,3,FALSE),"")</f>
        <v/>
      </c>
    </row>
    <row r="12">
      <c r="A12" s="5" t="inlineStr">
        <is>
          <t>Chad Stahelski</t>
        </is>
      </c>
      <c r="B12" s="5" t="inlineStr">
        <is>
          <t>T1</t>
        </is>
      </c>
      <c r="C12" s="5" t="inlineStr">
        <is>
          <t>Peak (action franchise builder)</t>
        </is>
      </c>
      <c r="D12" s="5" t="inlineStr"/>
      <c r="E12" s="5" t="inlineStr">
        <is>
          <t>Action (stunt-driven)</t>
        </is>
      </c>
      <c r="F12" s="5" t="inlineStr">
        <is>
          <t>Thriller</t>
        </is>
      </c>
      <c r="G12" s="5" t="inlineStr">
        <is>
          <t>$50M–$120M+</t>
        </is>
      </c>
      <c r="H12" s="5" t="inlineStr">
        <is>
          <t>Choreography-forward, clean mythic action</t>
        </is>
      </c>
      <c r="I12" s="5" t="inlineStr">
        <is>
          <t>John Wick: Chapter 4 (2023); John Wick: Chapter 3 (2019); John Wick: Chapter 2 (2017)</t>
        </is>
      </c>
      <c r="J12" s="5" t="inlineStr">
        <is>
          <t>John Wick: Chapter 4</t>
        </is>
      </c>
      <c r="K12" s="5" t="n">
        <v>2023</v>
      </c>
      <c r="L12" s="5" t="inlineStr">
        <is>
          <t>Theatrical</t>
        </is>
      </c>
      <c r="M12" s="5" t="inlineStr">
        <is>
          <t>Highlander</t>
        </is>
      </c>
      <c r="N12" s="5" t="inlineStr">
        <is>
          <t>Announced / in development</t>
        </is>
      </c>
      <c r="O12" s="5" t="n">
        <v>3</v>
      </c>
      <c r="P12" s="5" t="inlineStr">
        <is>
          <t>Great for action lane matching; tends toward long prep for choreography.</t>
        </is>
      </c>
      <c r="Q12" s="5" t="inlineStr">
        <is>
          <t>Action-heavy prep, stunt safety, extended unit work.</t>
        </is>
      </c>
      <c r="R12" s="5" t="inlineStr">
        <is>
          <t>In TOP sheet</t>
        </is>
      </c>
      <c r="S12" s="5" t="inlineStr">
        <is>
          <t>2026-01-29</t>
        </is>
      </c>
      <c r="T12" s="5" t="inlineStr">
        <is>
          <t>https://en.wikipedia.org/w/index.php?search=Chad+Stahelski</t>
        </is>
      </c>
      <c r="U12" s="5" t="inlineStr">
        <is>
          <t>https://www.imdb.com/find/?q=Chad+Stahelski&amp;s=nm</t>
        </is>
      </c>
      <c r="AO12" s="19">
        <f>IFERROR(VLOOKUP(AN12,BUDGET_BANDS!$A$2:$C$9,2,FALSE),"")</f>
        <v/>
      </c>
      <c r="AP12" s="19">
        <f>IFERROR(VLOOKUP(AN12,BUDGET_BANDS!$A$2:$C$9,3,FALSE),"")</f>
        <v/>
      </c>
    </row>
    <row r="13">
      <c r="A13" s="5" t="inlineStr">
        <is>
          <t>Christopher McQuarrie</t>
        </is>
      </c>
      <c r="B13" s="5" t="inlineStr">
        <is>
          <t>T1</t>
        </is>
      </c>
      <c r="C13" s="5" t="inlineStr">
        <is>
          <t>Peak (action specialist)</t>
        </is>
      </c>
      <c r="D13" s="5" t="inlineStr"/>
      <c r="E13" s="5" t="inlineStr">
        <is>
          <t>High-end action / spy</t>
        </is>
      </c>
      <c r="F13" s="5" t="inlineStr">
        <is>
          <t>Thriller</t>
        </is>
      </c>
      <c r="G13" s="5" t="inlineStr">
        <is>
          <t>$150M–$400M</t>
        </is>
      </c>
      <c r="H13" s="5" t="inlineStr">
        <is>
          <t>Practical stunt spectacle, precision pacing</t>
        </is>
      </c>
      <c r="I13" s="5" t="inlineStr">
        <is>
          <t>Mission: Impossible – The Final Reckoning (2025); Dead Reckoning (2023); Fallout (2018)</t>
        </is>
      </c>
      <c r="J13" s="5" t="inlineStr">
        <is>
          <t>Mission: Impossible – The Final Reckoning</t>
        </is>
      </c>
      <c r="K13" s="5" t="n">
        <v>2025</v>
      </c>
      <c r="L13" s="5" t="inlineStr">
        <is>
          <t>Theatrical</t>
        </is>
      </c>
      <c r="M13" s="5" t="inlineStr">
        <is>
          <t>(TBA) likely action package(s)</t>
        </is>
      </c>
      <c r="N13" s="5" t="inlineStr">
        <is>
          <t>TBD</t>
        </is>
      </c>
      <c r="O13" s="5" t="n">
        <v>4</v>
      </c>
      <c r="P13" s="5" t="inlineStr">
        <is>
          <t>Elite action credibility; availability depends on next Cruise/Paramount commitments.</t>
        </is>
      </c>
      <c r="Q13" s="5" t="inlineStr">
        <is>
          <t>Complex stunts can extend schedules.</t>
        </is>
      </c>
      <c r="R13" s="5" t="inlineStr">
        <is>
          <t>In TOP sheet</t>
        </is>
      </c>
      <c r="S13" s="5" t="inlineStr">
        <is>
          <t>2026-01-29</t>
        </is>
      </c>
      <c r="T13" s="5" t="inlineStr">
        <is>
          <t>https://en.wikipedia.org/w/index.php?search=Christopher+McQuarrie</t>
        </is>
      </c>
      <c r="U13" s="5" t="inlineStr">
        <is>
          <t>https://www.imdb.com/find/?q=Christopher+McQuarrie&amp;s=nm</t>
        </is>
      </c>
      <c r="AO13" s="19">
        <f>IFERROR(VLOOKUP(AN13,BUDGET_BANDS!$A$2:$C$9,2,FALSE),"")</f>
        <v/>
      </c>
      <c r="AP13" s="19">
        <f>IFERROR(VLOOKUP(AN13,BUDGET_BANDS!$A$2:$C$9,3,FALSE),"")</f>
        <v/>
      </c>
    </row>
    <row r="14">
      <c r="A14" s="5" t="inlineStr">
        <is>
          <t>David Fincher</t>
        </is>
      </c>
      <c r="B14" s="5" t="inlineStr">
        <is>
          <t>T1</t>
        </is>
      </c>
      <c r="C14" s="5" t="inlineStr">
        <is>
          <t>Established</t>
        </is>
      </c>
      <c r="D14" s="5" t="inlineStr">
        <is>
          <t>US/Intl</t>
        </is>
      </c>
      <c r="E14" s="5" t="inlineStr">
        <is>
          <t>Thriller/Mystery</t>
        </is>
      </c>
      <c r="F14" s="5" t="inlineStr">
        <is>
          <t>Crime/Heist,Drama</t>
        </is>
      </c>
      <c r="G14" s="5" t="inlineStr">
        <is>
          <t>Studio/Mid</t>
        </is>
      </c>
      <c r="H14" s="5" t="inlineStr">
        <is>
          <t>tense, precise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>
        <is>
          <t>Seeded</t>
        </is>
      </c>
      <c r="S14" s="5" t="inlineStr">
        <is>
          <t>2026-01-29</t>
        </is>
      </c>
      <c r="T14" s="5" t="inlineStr">
        <is>
          <t>https://en.wikipedia.org/w/index.php?search=David+Fincher</t>
        </is>
      </c>
      <c r="U14" s="5" t="inlineStr">
        <is>
          <t>https://www.imdb.com/find/?q=David+Fincher&amp;s=nm</t>
        </is>
      </c>
      <c r="AO14" s="19">
        <f>IFERROR(VLOOKUP(AN14,BUDGET_BANDS!$A$2:$C$9,2,FALSE),"")</f>
        <v/>
      </c>
      <c r="AP14" s="19">
        <f>IFERROR(VLOOKUP(AN14,BUDGET_BANDS!$A$2:$C$9,3,FALSE),"")</f>
        <v/>
      </c>
    </row>
    <row r="15">
      <c r="A15" s="5" t="inlineStr">
        <is>
          <t>David Leitch</t>
        </is>
      </c>
      <c r="B15" s="5" t="inlineStr">
        <is>
          <t>T1</t>
        </is>
      </c>
      <c r="C15" s="5" t="inlineStr">
        <is>
          <t>Hot (studio action-comedy)</t>
        </is>
      </c>
      <c r="D15" s="5" t="inlineStr"/>
      <c r="E15" s="5" t="inlineStr">
        <is>
          <t>Action-comedy</t>
        </is>
      </c>
      <c r="F15" s="5" t="inlineStr">
        <is>
          <t>Thriller</t>
        </is>
      </c>
      <c r="G15" s="5" t="inlineStr">
        <is>
          <t>$80M–$150M</t>
        </is>
      </c>
      <c r="H15" s="5" t="inlineStr">
        <is>
          <t>Stunts + humor, pop energy</t>
        </is>
      </c>
      <c r="I15" s="5" t="inlineStr">
        <is>
          <t>The Fall Guy (2024); Bullet Train (2022); Hobbs &amp; Shaw (2019)</t>
        </is>
      </c>
      <c r="J15" s="5" t="inlineStr">
        <is>
          <t>The Fall Guy</t>
        </is>
      </c>
      <c r="K15" s="5" t="n">
        <v>2024</v>
      </c>
      <c r="L15" s="5" t="inlineStr">
        <is>
          <t>Theatrical</t>
        </is>
      </c>
      <c r="M15" s="5" t="inlineStr">
        <is>
          <t>How to Rob a Bank</t>
        </is>
      </c>
      <c r="N15" s="5" t="inlineStr">
        <is>
          <t>In development</t>
        </is>
      </c>
      <c r="O15" s="5" t="n">
        <v>4</v>
      </c>
      <c r="P15" s="5" t="inlineStr">
        <is>
          <t>Good for action+comedy scripts; can attract major stars.</t>
        </is>
      </c>
      <c r="Q15" s="5" t="inlineStr">
        <is>
          <t>High stunt needs; can run parallel units.</t>
        </is>
      </c>
      <c r="R15" s="5" t="inlineStr">
        <is>
          <t>In TOP sheet</t>
        </is>
      </c>
      <c r="S15" s="5" t="inlineStr">
        <is>
          <t>2026-01-29</t>
        </is>
      </c>
      <c r="T15" s="5" t="inlineStr">
        <is>
          <t>https://en.wikipedia.org/w/index.php?search=David+Leitch</t>
        </is>
      </c>
      <c r="U15" s="5" t="inlineStr">
        <is>
          <t>https://www.imdb.com/find/?q=David+Leitch&amp;s=nm</t>
        </is>
      </c>
      <c r="AO15" s="19">
        <f>IFERROR(VLOOKUP(AN15,BUDGET_BANDS!$A$2:$C$9,2,FALSE),"")</f>
        <v/>
      </c>
      <c r="AP15" s="19">
        <f>IFERROR(VLOOKUP(AN15,BUDGET_BANDS!$A$2:$C$9,3,FALSE),"")</f>
        <v/>
      </c>
    </row>
    <row r="16">
      <c r="A16" s="5" t="inlineStr">
        <is>
          <t>Guillermo del Toro</t>
        </is>
      </c>
      <c r="B16" s="5" t="inlineStr">
        <is>
          <t>T1</t>
        </is>
      </c>
      <c r="C16" s="5" t="inlineStr">
        <is>
          <t>Established (auteur + studio)</t>
        </is>
      </c>
      <c r="D16" s="5" t="inlineStr"/>
      <c r="E16" s="5" t="inlineStr">
        <is>
          <t>Fantasy / gothic</t>
        </is>
      </c>
      <c r="F16" s="5" t="inlineStr">
        <is>
          <t>Drama, horror</t>
        </is>
      </c>
      <c r="G16" s="5" t="inlineStr">
        <is>
          <t>$30M–$120M</t>
        </is>
      </c>
      <c r="H16" s="5" t="inlineStr">
        <is>
          <t>Gothic emotion, creature design</t>
        </is>
      </c>
      <c r="I16" s="5" t="inlineStr">
        <is>
          <t>Frankenstein (2025); Pinocchio (2022); Nightmare Alley (2021)</t>
        </is>
      </c>
      <c r="J16" s="5" t="inlineStr">
        <is>
          <t>Frankenstein</t>
        </is>
      </c>
      <c r="K16" s="5" t="n">
        <v>2025</v>
      </c>
      <c r="L16" s="5" t="inlineStr">
        <is>
          <t>Streamer (Netflix)</t>
        </is>
      </c>
      <c r="M16" s="5" t="inlineStr">
        <is>
          <t>TBA</t>
        </is>
      </c>
      <c r="N16" s="5" t="inlineStr">
        <is>
          <t>TBD</t>
        </is>
      </c>
      <c r="O16" s="5" t="n">
        <v>4</v>
      </c>
      <c r="P16" s="5" t="inlineStr">
        <is>
          <t>Strong for elevated genre and awards lane; streamer relationships matter.</t>
        </is>
      </c>
      <c r="Q16" s="5" t="inlineStr">
        <is>
          <t>Design-heavy; long preproduction.</t>
        </is>
      </c>
      <c r="R16" s="5" t="inlineStr">
        <is>
          <t>In TOP sheet</t>
        </is>
      </c>
      <c r="S16" s="5" t="inlineStr">
        <is>
          <t>2026-01-29</t>
        </is>
      </c>
      <c r="T16" s="5" t="inlineStr">
        <is>
          <t>https://en.wikipedia.org/w/index.php?search=Guillermo+del+Toro</t>
        </is>
      </c>
      <c r="U16" s="5" t="inlineStr">
        <is>
          <t>https://www.imdb.com/find/?q=Guillermo+del+Toro&amp;s=nm</t>
        </is>
      </c>
      <c r="AO16" s="19">
        <f>IFERROR(VLOOKUP(AN16,BUDGET_BANDS!$A$2:$C$9,2,FALSE),"")</f>
        <v/>
      </c>
      <c r="AP16" s="19">
        <f>IFERROR(VLOOKUP(AN16,BUDGET_BANDS!$A$2:$C$9,3,FALSE),"")</f>
        <v/>
      </c>
    </row>
    <row r="17">
      <c r="A17" s="5" t="inlineStr">
        <is>
          <t>James Wan</t>
        </is>
      </c>
      <c r="B17" s="5" t="inlineStr">
        <is>
          <t>T1</t>
        </is>
      </c>
      <c r="C17" s="5" t="inlineStr">
        <is>
          <t>Established (franchise horror + superhero)</t>
        </is>
      </c>
      <c r="D17" s="5" t="inlineStr"/>
      <c r="E17" s="5" t="inlineStr">
        <is>
          <t>Horror / supernatural</t>
        </is>
      </c>
      <c r="F17" s="5" t="inlineStr">
        <is>
          <t>Superhero action</t>
        </is>
      </c>
      <c r="G17" s="5" t="inlineStr">
        <is>
          <t>$20M–$215M</t>
        </is>
      </c>
      <c r="H17" s="5" t="inlineStr">
        <is>
          <t>Tension craft, genre mechanics</t>
        </is>
      </c>
      <c r="I17" s="5" t="inlineStr">
        <is>
          <t>Aquaman and the Lost Kingdom (2023); Malignant (2021); Aquaman (2018)</t>
        </is>
      </c>
      <c r="J17" s="5" t="inlineStr">
        <is>
          <t>Aquaman and the Lost Kingdom</t>
        </is>
      </c>
      <c r="K17" s="5" t="n">
        <v>2023</v>
      </c>
      <c r="L17" s="5" t="inlineStr">
        <is>
          <t>Theatrical</t>
        </is>
      </c>
      <c r="M17" s="5" t="inlineStr">
        <is>
          <t>TBD (producer-heavy slate)</t>
        </is>
      </c>
      <c r="N17" s="5" t="inlineStr">
        <is>
          <t>TBD</t>
        </is>
      </c>
      <c r="O17" s="5" t="n">
        <v>3</v>
      </c>
      <c r="P17" s="5" t="inlineStr">
        <is>
          <t>Strong for horror lane; director availability uncertain.</t>
        </is>
      </c>
      <c r="Q17" s="5" t="inlineStr">
        <is>
          <t>Often producing multiple projects concurrently.</t>
        </is>
      </c>
      <c r="R17" s="5" t="inlineStr">
        <is>
          <t>In TOP sheet</t>
        </is>
      </c>
      <c r="S17" s="5" t="inlineStr">
        <is>
          <t>2026-01-29</t>
        </is>
      </c>
      <c r="T17" s="5" t="inlineStr">
        <is>
          <t>https://en.wikipedia.org/w/index.php?search=James+Wan</t>
        </is>
      </c>
      <c r="U17" s="5" t="inlineStr">
        <is>
          <t>https://www.imdb.com/find/?q=James+Wan&amp;s=nm</t>
        </is>
      </c>
      <c r="V17" t="inlineStr">
        <is>
          <t>https://www.the-numbers.com/person/148690401-James-Wan</t>
        </is>
      </c>
      <c r="W17" t="inlineStr">
        <is>
          <t>The Numbers</t>
        </is>
      </c>
      <c r="X17" t="inlineStr">
        <is>
          <t>Aquaman and the Lost Kingdom</t>
        </is>
      </c>
      <c r="Y17" t="inlineStr">
        <is>
          <t>Dec 22, 2023</t>
        </is>
      </c>
      <c r="Z17" s="19" t="n">
        <v>124481226</v>
      </c>
      <c r="AA17" s="19" t="n">
        <v>315700000</v>
      </c>
      <c r="AB17" s="19" t="n">
        <v>440181226</v>
      </c>
      <c r="AC17" t="inlineStr">
        <is>
          <t>Malignant</t>
        </is>
      </c>
      <c r="AD17" t="inlineStr">
        <is>
          <t>Sep 10, 2021</t>
        </is>
      </c>
      <c r="AE17" s="19" t="n">
        <v>13391791</v>
      </c>
      <c r="AF17" s="19" t="n">
        <v>21500000</v>
      </c>
      <c r="AG17" s="19" t="n">
        <v>34891791</v>
      </c>
      <c r="AH17" t="inlineStr">
        <is>
          <t>Aquaman</t>
        </is>
      </c>
      <c r="AI17" t="inlineStr">
        <is>
          <t>Dec 21, 2018</t>
        </is>
      </c>
      <c r="AJ17" s="19" t="n">
        <v>335061807</v>
      </c>
      <c r="AK17" s="19" t="n">
        <v>813800000</v>
      </c>
      <c r="AL17" s="19" t="n">
        <v>1148861807</v>
      </c>
      <c r="AM17" s="19" t="n">
        <v>440181226</v>
      </c>
      <c r="AO17" s="19">
        <f>IFERROR(VLOOKUP(AN17,BUDGET_BANDS!$A$2:$C$9,2,FALSE),"")</f>
        <v/>
      </c>
      <c r="AP17" s="19">
        <f>IFERROR(VLOOKUP(AN17,BUDGET_BANDS!$A$2:$C$9,3,FALSE),"")</f>
        <v/>
      </c>
    </row>
    <row r="18">
      <c r="A18" s="5" t="inlineStr">
        <is>
          <t>Jordan Peele</t>
        </is>
      </c>
      <c r="B18" s="5" t="inlineStr">
        <is>
          <t>T1</t>
        </is>
      </c>
      <c r="C18" s="5" t="inlineStr">
        <is>
          <t>Selective (event horror auteur)</t>
        </is>
      </c>
      <c r="D18" s="5" t="inlineStr"/>
      <c r="E18" s="5" t="inlineStr">
        <is>
          <t>Social horror / thriller</t>
        </is>
      </c>
      <c r="F18" s="5" t="inlineStr">
        <is>
          <t>Sci-fi</t>
        </is>
      </c>
      <c r="G18" s="5" t="inlineStr">
        <is>
          <t>$10M–$70M</t>
        </is>
      </c>
      <c r="H18" s="5" t="inlineStr">
        <is>
          <t>High concept, uneasy humor, thematic metaphor</t>
        </is>
      </c>
      <c r="I18" s="5" t="inlineStr">
        <is>
          <t>Nope (2022); Us (2019); Get Out (2017)</t>
        </is>
      </c>
      <c r="J18" s="5" t="inlineStr">
        <is>
          <t>Nope</t>
        </is>
      </c>
      <c r="K18" s="5" t="n">
        <v>2022</v>
      </c>
      <c r="L18" s="5" t="inlineStr">
        <is>
          <t>Theatrical</t>
        </is>
      </c>
      <c r="M18" s="5" t="inlineStr">
        <is>
          <t>Untitled next feature (Universal) – release date removed</t>
        </is>
      </c>
      <c r="N18" s="5" t="inlineStr">
        <is>
          <t>In development</t>
        </is>
      </c>
      <c r="O18" s="5" t="n">
        <v>4</v>
      </c>
      <c r="P18" s="5" t="inlineStr">
        <is>
          <t>High-value attachment for horror/thriller; scarcity increases leverage.</t>
        </is>
      </c>
      <c r="Q18" s="5" t="inlineStr">
        <is>
          <t>Typically original scripts with secrecy; controlled info flow.</t>
        </is>
      </c>
      <c r="R18" s="5" t="inlineStr">
        <is>
          <t>In TOP sheet</t>
        </is>
      </c>
      <c r="S18" s="5" t="inlineStr">
        <is>
          <t>2026-01-29</t>
        </is>
      </c>
      <c r="T18" s="5" t="inlineStr">
        <is>
          <t>https://en.wikipedia.org/w/index.php?search=Jordan+Peele</t>
        </is>
      </c>
      <c r="U18" s="5" t="inlineStr">
        <is>
          <t>https://www.imdb.com/find/?q=Jordan+Peele&amp;s=nm</t>
        </is>
      </c>
      <c r="AO18" s="19">
        <f>IFERROR(VLOOKUP(AN18,BUDGET_BANDS!$A$2:$C$9,2,FALSE),"")</f>
        <v/>
      </c>
      <c r="AP18" s="19">
        <f>IFERROR(VLOOKUP(AN18,BUDGET_BANDS!$A$2:$C$9,3,FALSE),"")</f>
        <v/>
      </c>
    </row>
    <row r="19">
      <c r="A19" s="5" t="inlineStr">
        <is>
          <t>Joseph Kosinski</t>
        </is>
      </c>
      <c r="B19" s="5" t="inlineStr">
        <is>
          <t>T1</t>
        </is>
      </c>
      <c r="C19" s="5" t="inlineStr">
        <is>
          <t>Hot (premium commercial)</t>
        </is>
      </c>
      <c r="D19" s="5" t="inlineStr"/>
      <c r="E19" s="5" t="inlineStr">
        <is>
          <t>High-end commercial spectacle</t>
        </is>
      </c>
      <c r="F19" s="5" t="inlineStr">
        <is>
          <t>Sci-fi</t>
        </is>
      </c>
      <c r="G19" s="5" t="inlineStr">
        <is>
          <t>$150M–$300M</t>
        </is>
      </c>
      <c r="H19" s="5" t="inlineStr">
        <is>
          <t>Sleek realism, technical setpieces</t>
        </is>
      </c>
      <c r="I19" s="5" t="inlineStr">
        <is>
          <t>F1 (2025); Top Gun: Maverick (2022); Oblivion (2013)</t>
        </is>
      </c>
      <c r="J19" s="5" t="inlineStr">
        <is>
          <t>F1 (F1: The Movie)</t>
        </is>
      </c>
      <c r="K19" s="5" t="n">
        <v>2025</v>
      </c>
      <c r="L19" s="5" t="inlineStr">
        <is>
          <t>Theatrical</t>
        </is>
      </c>
      <c r="M19" s="5" t="inlineStr">
        <is>
          <t>Untitled UFO conspiracy thriller (Apple)</t>
        </is>
      </c>
      <c r="N19" s="5" t="inlineStr">
        <is>
          <t>Package landed at Apple (announced)</t>
        </is>
      </c>
      <c r="O19" s="5" t="n">
        <v>4</v>
      </c>
      <c r="P19" s="5" t="inlineStr">
        <is>
          <t>Strong for big-scale thrills; tends to require technical prep.</t>
        </is>
      </c>
      <c r="Q19" s="5" t="inlineStr">
        <is>
          <t>Complex production logistics; premium format pipelines.</t>
        </is>
      </c>
      <c r="R19" s="5" t="inlineStr">
        <is>
          <t>In TOP sheet</t>
        </is>
      </c>
      <c r="S19" s="5" t="inlineStr">
        <is>
          <t>2026-01-29</t>
        </is>
      </c>
      <c r="T19" s="5" t="inlineStr">
        <is>
          <t>https://en.wikipedia.org/w/index.php?search=Joseph+Kosinski</t>
        </is>
      </c>
      <c r="U19" s="5" t="inlineStr">
        <is>
          <t>https://www.imdb.com/find/?q=Joseph+Kosinski&amp;s=nm</t>
        </is>
      </c>
      <c r="AO19" s="19">
        <f>IFERROR(VLOOKUP(AN19,BUDGET_BANDS!$A$2:$C$9,2,FALSE),"")</f>
        <v/>
      </c>
      <c r="AP19" s="19">
        <f>IFERROR(VLOOKUP(AN19,BUDGET_BANDS!$A$2:$C$9,3,FALSE),"")</f>
        <v/>
      </c>
    </row>
    <row r="20">
      <c r="A20" s="5" t="inlineStr">
        <is>
          <t>M. Night Shyamalan</t>
        </is>
      </c>
      <c r="B20" s="5" t="inlineStr">
        <is>
          <t>T1</t>
        </is>
      </c>
      <c r="C20" s="5" t="inlineStr">
        <is>
          <t>Established</t>
        </is>
      </c>
      <c r="D20" s="5" t="inlineStr">
        <is>
          <t>US/Intl</t>
        </is>
      </c>
      <c r="E20" s="5" t="inlineStr">
        <is>
          <t>Thriller/Mystery</t>
        </is>
      </c>
      <c r="F20" s="5" t="inlineStr">
        <is>
          <t>Crime/Heist,Drama</t>
        </is>
      </c>
      <c r="G20" s="5" t="inlineStr">
        <is>
          <t>Studio/Mid</t>
        </is>
      </c>
      <c r="H20" s="5" t="inlineStr">
        <is>
          <t>tense, precise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>
        <is>
          <t>Seeded</t>
        </is>
      </c>
      <c r="S20" s="5" t="inlineStr">
        <is>
          <t>2026-01-29</t>
        </is>
      </c>
      <c r="T20" s="5" t="inlineStr">
        <is>
          <t>https://en.wikipedia.org/w/index.php?search=M.+Night+Shyamalan</t>
        </is>
      </c>
      <c r="U20" s="5" t="inlineStr">
        <is>
          <t>https://www.imdb.com/find/?q=M.+Night+Shyamalan&amp;s=nm</t>
        </is>
      </c>
      <c r="AO20" s="19">
        <f>IFERROR(VLOOKUP(AN20,BUDGET_BANDS!$A$2:$C$9,2,FALSE),"")</f>
        <v/>
      </c>
      <c r="AP20" s="19">
        <f>IFERROR(VLOOKUP(AN20,BUDGET_BANDS!$A$2:$C$9,3,FALSE),"")</f>
        <v/>
      </c>
    </row>
    <row r="21">
      <c r="A21" s="5" t="inlineStr">
        <is>
          <t>Patty Jenkins</t>
        </is>
      </c>
      <c r="B21" s="5" t="inlineStr">
        <is>
          <t>T1</t>
        </is>
      </c>
      <c r="C21" s="5" t="inlineStr">
        <is>
          <t>Established (big IP)</t>
        </is>
      </c>
      <c r="D21" s="5" t="inlineStr"/>
      <c r="E21" s="5" t="inlineStr">
        <is>
          <t>Superhero / action</t>
        </is>
      </c>
      <c r="F21" s="5" t="inlineStr">
        <is>
          <t>Drama</t>
        </is>
      </c>
      <c r="G21" s="5" t="inlineStr">
        <is>
          <t>$50M–$200M</t>
        </is>
      </c>
      <c r="H21" s="5" t="inlineStr">
        <is>
          <t>Earnest heroism, classical arcs</t>
        </is>
      </c>
      <c r="I21" s="5" t="inlineStr">
        <is>
          <t>Wonder Woman 1984 (2020); Wonder Woman (2017); Monster (2003)</t>
        </is>
      </c>
      <c r="J21" s="5" t="inlineStr">
        <is>
          <t>Wonder Woman 1984</t>
        </is>
      </c>
      <c r="K21" s="5" t="n">
        <v>2020</v>
      </c>
      <c r="L21" s="5" t="inlineStr">
        <is>
          <t>Theatrical+HBO Max (pandemic)</t>
        </is>
      </c>
      <c r="M21" s="5" t="inlineStr">
        <is>
          <t>Rogue Squadron (status uncertain) / TBA</t>
        </is>
      </c>
      <c r="N21" s="5" t="inlineStr">
        <is>
          <t>Reported / unconfirmed by Lucasfilm</t>
        </is>
      </c>
      <c r="O21" s="5" t="n">
        <v>3</v>
      </c>
      <c r="P21" s="5" t="inlineStr">
        <is>
          <t>Action/hero lane; next project status needs verification.</t>
        </is>
      </c>
      <c r="Q21" s="5" t="inlineStr">
        <is>
          <t>Big studio processes; schedule dependent on greenlight.</t>
        </is>
      </c>
      <c r="R21" s="5" t="inlineStr">
        <is>
          <t>In TOP sheet</t>
        </is>
      </c>
      <c r="S21" s="5" t="inlineStr">
        <is>
          <t>2026-01-29</t>
        </is>
      </c>
      <c r="T21" s="5" t="inlineStr">
        <is>
          <t>https://en.wikipedia.org/w/index.php?search=Patty+Jenkins</t>
        </is>
      </c>
      <c r="U21" s="5" t="inlineStr">
        <is>
          <t>https://www.imdb.com/find/?q=Patty+Jenkins&amp;s=nm</t>
        </is>
      </c>
      <c r="AO21" s="19">
        <f>IFERROR(VLOOKUP(AN21,BUDGET_BANDS!$A$2:$C$9,2,FALSE),"")</f>
        <v/>
      </c>
      <c r="AP21" s="19">
        <f>IFERROR(VLOOKUP(AN21,BUDGET_BANDS!$A$2:$C$9,3,FALSE),"")</f>
        <v/>
      </c>
    </row>
    <row r="22">
      <c r="A22" s="5" t="inlineStr">
        <is>
          <t>Paul King</t>
        </is>
      </c>
      <c r="B22" s="5" t="inlineStr">
        <is>
          <t>T1</t>
        </is>
      </c>
      <c r="C22" s="5" t="inlineStr">
        <is>
          <t>Hot (family musical hit)</t>
        </is>
      </c>
      <c r="D22" s="5" t="inlineStr"/>
      <c r="E22" s="5" t="inlineStr">
        <is>
          <t>Family / comedy</t>
        </is>
      </c>
      <c r="F22" s="5" t="inlineStr">
        <is>
          <t>Musical fantasy</t>
        </is>
      </c>
      <c r="G22" s="5" t="inlineStr">
        <is>
          <t>$50M–$150M</t>
        </is>
      </c>
      <c r="H22" s="5" t="inlineStr">
        <is>
          <t>Warmth, whimsy, precision comedy</t>
        </is>
      </c>
      <c r="I22" s="5" t="inlineStr">
        <is>
          <t>Wonka (2023); Paddington 2 (2017); Paddington (2014)</t>
        </is>
      </c>
      <c r="J22" s="5" t="inlineStr">
        <is>
          <t>Wonka</t>
        </is>
      </c>
      <c r="K22" s="5" t="n">
        <v>2023</v>
      </c>
      <c r="L22" s="5" t="inlineStr">
        <is>
          <t>Theatrical</t>
        </is>
      </c>
      <c r="M22" s="5" t="inlineStr">
        <is>
          <t>Labubu (Sony)</t>
        </is>
      </c>
      <c r="N22" s="5" t="inlineStr">
        <is>
          <t>Early development (announced)</t>
        </is>
      </c>
      <c r="O22" s="5" t="n">
        <v>4</v>
      </c>
      <c r="P22" s="5" t="inlineStr">
        <is>
          <t>Very strong for family lane; reliable tone control.</t>
        </is>
      </c>
      <c r="Q22" s="5" t="inlineStr">
        <is>
          <t>Family brand alignment important.</t>
        </is>
      </c>
      <c r="R22" s="5" t="inlineStr">
        <is>
          <t>In TOP sheet</t>
        </is>
      </c>
      <c r="S22" s="5" t="inlineStr">
        <is>
          <t>2026-01-29</t>
        </is>
      </c>
      <c r="T22" s="5" t="inlineStr">
        <is>
          <t>https://en.wikipedia.org/w/index.php?search=Paul+King</t>
        </is>
      </c>
      <c r="U22" s="5" t="inlineStr">
        <is>
          <t>https://www.imdb.com/find/?q=Paul+King&amp;s=nm</t>
        </is>
      </c>
      <c r="AO22" s="19">
        <f>IFERROR(VLOOKUP(AN22,BUDGET_BANDS!$A$2:$C$9,2,FALSE),"")</f>
        <v/>
      </c>
      <c r="AP22" s="19">
        <f>IFERROR(VLOOKUP(AN22,BUDGET_BANDS!$A$2:$C$9,3,FALSE),"")</f>
        <v/>
      </c>
    </row>
    <row r="23">
      <c r="A23" s="5" t="inlineStr">
        <is>
          <t>Rian Johnson</t>
        </is>
      </c>
      <c r="B23" s="5" t="inlineStr">
        <is>
          <t>T1</t>
        </is>
      </c>
      <c r="C23" s="5" t="inlineStr">
        <is>
          <t>Established (franchise + original)</t>
        </is>
      </c>
      <c r="D23" s="5" t="inlineStr"/>
      <c r="E23" s="5" t="inlineStr">
        <is>
          <t>Mystery / thriller</t>
        </is>
      </c>
      <c r="F23" s="5" t="inlineStr">
        <is>
          <t>Sci-fi</t>
        </is>
      </c>
      <c r="G23" s="5" t="inlineStr">
        <is>
          <t>$40M–$150M</t>
        </is>
      </c>
      <c r="H23" s="5" t="inlineStr">
        <is>
          <t>Playful whodunnit mechanics, twisty</t>
        </is>
      </c>
      <c r="I23" s="5" t="inlineStr">
        <is>
          <t>Wake Up Dead Man (2025); Glass Onion (2022); The Last Jedi (2017)</t>
        </is>
      </c>
      <c r="J23" s="5" t="inlineStr">
        <is>
          <t>Wake Up Dead Man</t>
        </is>
      </c>
      <c r="K23" s="5" t="n">
        <v>2025</v>
      </c>
      <c r="L23" s="5" t="inlineStr">
        <is>
          <t>Streamer (Netflix)</t>
        </is>
      </c>
      <c r="M23" s="5" t="inlineStr">
        <is>
          <t>TBA (post Netflix deal)</t>
        </is>
      </c>
      <c r="N23" s="5" t="inlineStr">
        <is>
          <t>TBD</t>
        </is>
      </c>
      <c r="O23" s="5" t="n">
        <v>4</v>
      </c>
      <c r="P23" s="5" t="inlineStr">
        <is>
          <t>Can package ensemble; strong with stars in mystery lane.</t>
        </is>
      </c>
      <c r="Q23" s="5" t="inlineStr">
        <is>
          <t>Schedules often flexible but dependent on streamer deals.</t>
        </is>
      </c>
      <c r="R23" s="5" t="inlineStr">
        <is>
          <t>In TOP sheet</t>
        </is>
      </c>
      <c r="S23" s="5" t="inlineStr">
        <is>
          <t>2026-01-29</t>
        </is>
      </c>
      <c r="T23" s="5" t="inlineStr">
        <is>
          <t>https://en.wikipedia.org/w/index.php?search=Rian+Johnson</t>
        </is>
      </c>
      <c r="U23" s="5" t="inlineStr">
        <is>
          <t>https://www.imdb.com/find/?q=Rian+Johnson&amp;s=nm</t>
        </is>
      </c>
      <c r="AO23" s="19">
        <f>IFERROR(VLOOKUP(AN23,BUDGET_BANDS!$A$2:$C$9,2,FALSE),"")</f>
        <v/>
      </c>
      <c r="AP23" s="19">
        <f>IFERROR(VLOOKUP(AN23,BUDGET_BANDS!$A$2:$C$9,3,FALSE),"")</f>
        <v/>
      </c>
    </row>
    <row r="24">
      <c r="A24" s="5" t="inlineStr">
        <is>
          <t>Ryan Coogler</t>
        </is>
      </c>
      <c r="B24" s="5" t="inlineStr">
        <is>
          <t>T1</t>
        </is>
      </c>
      <c r="C24" s="5" t="inlineStr">
        <is>
          <t>Peak (franchise + original)</t>
        </is>
      </c>
      <c r="D24" s="5" t="inlineStr"/>
      <c r="E24" s="5" t="inlineStr">
        <is>
          <t>Event genre + grounded drama</t>
        </is>
      </c>
      <c r="F24" s="5" t="inlineStr">
        <is>
          <t>Action, horror</t>
        </is>
      </c>
      <c r="G24" s="5" t="inlineStr">
        <is>
          <t>$50M–$200M</t>
        </is>
      </c>
      <c r="H24" s="5" t="inlineStr">
        <is>
          <t>Emotional intensity, cultural specificity, spectacle</t>
        </is>
      </c>
      <c r="I24" s="5" t="inlineStr">
        <is>
          <t>Sinners (2025); Black Panther: Wakanda Forever (2022); Black Panther (2018)</t>
        </is>
      </c>
      <c r="J24" s="5" t="inlineStr">
        <is>
          <t>Sinners</t>
        </is>
      </c>
      <c r="K24" s="5" t="n">
        <v>2025</v>
      </c>
      <c r="L24" s="5" t="inlineStr">
        <is>
          <t>Theatrical</t>
        </is>
      </c>
      <c r="M24" s="5" t="inlineStr">
        <is>
          <t>Black Panther 3</t>
        </is>
      </c>
      <c r="N24" s="5" t="inlineStr">
        <is>
          <t>Confirmed next film (announced)</t>
        </is>
      </c>
      <c r="O24" s="5" t="n">
        <v>5</v>
      </c>
      <c r="P24" s="5" t="inlineStr">
        <is>
          <t>Can package A-list and move studio financing; strong original credibility post-Sinners.</t>
        </is>
      </c>
      <c r="Q24" s="5" t="inlineStr">
        <is>
          <t>Often multi-hyphen (writer/director/producer).</t>
        </is>
      </c>
      <c r="R24" s="5" t="inlineStr">
        <is>
          <t>In TOP sheet</t>
        </is>
      </c>
      <c r="S24" s="5" t="inlineStr">
        <is>
          <t>2026-01-29</t>
        </is>
      </c>
      <c r="T24" s="5" t="inlineStr">
        <is>
          <t>https://en.wikipedia.org/w/index.php?search=Ryan+Coogler</t>
        </is>
      </c>
      <c r="U24" s="5" t="inlineStr">
        <is>
          <t>https://www.imdb.com/find/?q=Ryan+Coogler&amp;s=nm</t>
        </is>
      </c>
      <c r="V24" t="inlineStr">
        <is>
          <t>https://www.the-numbers.com/person/339010401-Ryan-Coogler</t>
        </is>
      </c>
      <c r="W24" t="inlineStr">
        <is>
          <t>The Numbers</t>
        </is>
      </c>
      <c r="X24" t="inlineStr">
        <is>
          <t>Sinners</t>
        </is>
      </c>
      <c r="Y24" t="inlineStr">
        <is>
          <t>Apr 18, 2025</t>
        </is>
      </c>
      <c r="Z24" s="19" t="n">
        <v>279989632</v>
      </c>
      <c r="AA24" s="19" t="n">
        <v>88399859</v>
      </c>
      <c r="AB24" s="19" t="n">
        <v>368389491</v>
      </c>
      <c r="AC24" t="inlineStr">
        <is>
          <t>Black Panther: Wakanda Forever</t>
        </is>
      </c>
      <c r="AD24" t="inlineStr">
        <is>
          <t>Nov 11, 2022</t>
        </is>
      </c>
      <c r="AE24" s="19" t="n">
        <v>453829060</v>
      </c>
      <c r="AF24" s="19" t="n">
        <v>405379776</v>
      </c>
      <c r="AG24" s="19" t="n">
        <v>859208836</v>
      </c>
      <c r="AH24" t="inlineStr">
        <is>
          <t>Black Panther</t>
        </is>
      </c>
      <c r="AI24" t="inlineStr">
        <is>
          <t>Feb 16, 2018</t>
        </is>
      </c>
      <c r="AJ24" s="19" t="n">
        <v>700059566</v>
      </c>
      <c r="AK24" s="19" t="n">
        <v>634097516</v>
      </c>
      <c r="AL24" s="19" t="n">
        <v>1334157082</v>
      </c>
      <c r="AM24" s="19" t="n">
        <v>368389491</v>
      </c>
      <c r="AO24" s="19">
        <f>IFERROR(VLOOKUP(AN24,BUDGET_BANDS!$A$2:$C$9,2,FALSE),"")</f>
        <v/>
      </c>
      <c r="AP24" s="19">
        <f>IFERROR(VLOOKUP(AN24,BUDGET_BANDS!$A$2:$C$9,3,FALSE),"")</f>
        <v/>
      </c>
    </row>
    <row r="25">
      <c r="A25" s="5" t="inlineStr">
        <is>
          <t>Sam Mendes</t>
        </is>
      </c>
      <c r="B25" s="5" t="inlineStr">
        <is>
          <t>T1</t>
        </is>
      </c>
      <c r="C25" s="5" t="inlineStr">
        <is>
          <t>Established (prestige + franchise)</t>
        </is>
      </c>
      <c r="D25" s="5" t="inlineStr"/>
      <c r="E25" s="5" t="inlineStr">
        <is>
          <t>Prestige drama</t>
        </is>
      </c>
      <c r="F25" s="5" t="inlineStr">
        <is>
          <t>Spy/action</t>
        </is>
      </c>
      <c r="G25" s="5" t="inlineStr">
        <is>
          <t>$30M–$250M</t>
        </is>
      </c>
      <c r="H25" s="5" t="inlineStr">
        <is>
          <t>Classical craft, emotional restraint</t>
        </is>
      </c>
      <c r="I25" s="5" t="inlineStr">
        <is>
          <t>Empire of Light (2022); 1917 (2019); Spectre (2015)</t>
        </is>
      </c>
      <c r="J25" s="5" t="inlineStr">
        <is>
          <t>Empire of Light</t>
        </is>
      </c>
      <c r="K25" s="5" t="n">
        <v>2022</v>
      </c>
      <c r="L25" s="5" t="inlineStr">
        <is>
          <t>Theatrical</t>
        </is>
      </c>
      <c r="M25" s="5" t="inlineStr">
        <is>
          <t>The Beatles – A Four-Film Cinematic Event</t>
        </is>
      </c>
      <c r="N25" s="5" t="inlineStr">
        <is>
          <t>Announced / in development</t>
        </is>
      </c>
      <c r="O25" s="5" t="n">
        <v>5</v>
      </c>
      <c r="P25" s="5" t="inlineStr">
        <is>
          <t>Massive multi-film commitment—practically unavailable.</t>
        </is>
      </c>
      <c r="Q25" s="5" t="inlineStr">
        <is>
          <t>Multi-film production planning; very long horizon.</t>
        </is>
      </c>
      <c r="R25" s="5" t="inlineStr">
        <is>
          <t>In TOP sheet</t>
        </is>
      </c>
      <c r="S25" s="5" t="inlineStr">
        <is>
          <t>2026-01-29</t>
        </is>
      </c>
      <c r="T25" s="5" t="inlineStr">
        <is>
          <t>https://en.wikipedia.org/w/index.php?search=Sam+Mendes</t>
        </is>
      </c>
      <c r="U25" s="5" t="inlineStr">
        <is>
          <t>https://www.imdb.com/find/?q=Sam+Mendes&amp;s=nm</t>
        </is>
      </c>
      <c r="AO25" s="19">
        <f>IFERROR(VLOOKUP(AN25,BUDGET_BANDS!$A$2:$C$9,2,FALSE),"")</f>
        <v/>
      </c>
      <c r="AP25" s="19">
        <f>IFERROR(VLOOKUP(AN25,BUDGET_BANDS!$A$2:$C$9,3,FALSE),"")</f>
        <v/>
      </c>
    </row>
    <row r="26">
      <c r="A26" s="5" t="inlineStr">
        <is>
          <t>Steven Soderbergh</t>
        </is>
      </c>
      <c r="B26" s="5" t="inlineStr">
        <is>
          <t>T1</t>
        </is>
      </c>
      <c r="C26" s="5" t="inlineStr">
        <is>
          <t>Established</t>
        </is>
      </c>
      <c r="D26" s="5" t="inlineStr">
        <is>
          <t>US/Intl</t>
        </is>
      </c>
      <c r="E26" s="5" t="inlineStr">
        <is>
          <t>Thriller/Mystery</t>
        </is>
      </c>
      <c r="F26" s="5" t="inlineStr">
        <is>
          <t>Crime/Heist,Drama</t>
        </is>
      </c>
      <c r="G26" s="5" t="inlineStr">
        <is>
          <t>Studio/Mid</t>
        </is>
      </c>
      <c r="H26" s="5" t="inlineStr">
        <is>
          <t>tense, precise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>
        <is>
          <t>Seeded</t>
        </is>
      </c>
      <c r="S26" s="5" t="inlineStr">
        <is>
          <t>2026-01-29</t>
        </is>
      </c>
      <c r="T26" s="5" t="inlineStr">
        <is>
          <t>https://en.wikipedia.org/w/index.php?search=Steven+Soderbergh</t>
        </is>
      </c>
      <c r="U26" s="5" t="inlineStr">
        <is>
          <t>https://www.imdb.com/find/?q=Steven+Soderbergh&amp;s=nm</t>
        </is>
      </c>
      <c r="AO26" s="19">
        <f>IFERROR(VLOOKUP(AN26,BUDGET_BANDS!$A$2:$C$9,2,FALSE),"")</f>
        <v/>
      </c>
      <c r="AP26" s="19">
        <f>IFERROR(VLOOKUP(AN26,BUDGET_BANDS!$A$2:$C$9,3,FALSE),"")</f>
        <v/>
      </c>
    </row>
    <row r="27">
      <c r="A27" s="5" t="inlineStr">
        <is>
          <t>Taika Waititi</t>
        </is>
      </c>
      <c r="B27" s="5" t="inlineStr">
        <is>
          <t>T1</t>
        </is>
      </c>
      <c r="C27" s="5" t="inlineStr">
        <is>
          <t>Established (genre + comedy)</t>
        </is>
      </c>
      <c r="D27" s="5" t="inlineStr"/>
      <c r="E27" s="5" t="inlineStr">
        <is>
          <t>Comedy/drama with heart</t>
        </is>
      </c>
      <c r="F27" s="5" t="inlineStr">
        <is>
          <t>Fantasy/sci-fi</t>
        </is>
      </c>
      <c r="G27" s="5" t="inlineStr">
        <is>
          <t>$10M–$250M</t>
        </is>
      </c>
      <c r="H27" s="5" t="inlineStr">
        <is>
          <t>Quirky humor + emotion</t>
        </is>
      </c>
      <c r="I27" s="5" t="inlineStr">
        <is>
          <t>Next Goal Wins (2023); Thor: Love and Thunder (2022); Jojo Rabbit (2019)</t>
        </is>
      </c>
      <c r="J27" s="5" t="inlineStr">
        <is>
          <t>Next Goal Wins</t>
        </is>
      </c>
      <c r="K27" s="5" t="n">
        <v>2023</v>
      </c>
      <c r="L27" s="5" t="inlineStr">
        <is>
          <t>Theatrical</t>
        </is>
      </c>
      <c r="M27" s="5" t="inlineStr">
        <is>
          <t>Klara and the Sun</t>
        </is>
      </c>
      <c r="N27" s="5" t="inlineStr">
        <is>
          <t>Announced</t>
        </is>
      </c>
      <c r="O27" s="5" t="n">
        <v>3</v>
      </c>
      <c r="P27" s="5" t="inlineStr">
        <is>
          <t>Strong tone fit for offbeat/heart; can be polarizing commercially.</t>
        </is>
      </c>
      <c r="Q27" s="5" t="inlineStr">
        <is>
          <t>Comedic improvisation can add takes/time.</t>
        </is>
      </c>
      <c r="R27" s="5" t="inlineStr">
        <is>
          <t>In TOP sheet</t>
        </is>
      </c>
      <c r="S27" s="5" t="inlineStr">
        <is>
          <t>2026-01-29</t>
        </is>
      </c>
      <c r="T27" s="5" t="inlineStr">
        <is>
          <t>https://en.wikipedia.org/w/index.php?search=Taika+Waititi</t>
        </is>
      </c>
      <c r="U27" s="5" t="inlineStr">
        <is>
          <t>https://www.imdb.com/find/?q=Taika+Waititi&amp;s=nm</t>
        </is>
      </c>
      <c r="AO27" s="19">
        <f>IFERROR(VLOOKUP(AN27,BUDGET_BANDS!$A$2:$C$9,2,FALSE),"")</f>
        <v/>
      </c>
      <c r="AP27" s="19">
        <f>IFERROR(VLOOKUP(AN27,BUDGET_BANDS!$A$2:$C$9,3,FALSE),"")</f>
        <v/>
      </c>
    </row>
    <row r="28">
      <c r="A28" s="5" t="inlineStr">
        <is>
          <t>Adam McKay</t>
        </is>
      </c>
      <c r="B28" s="5" t="inlineStr">
        <is>
          <t>T2</t>
        </is>
      </c>
      <c r="C28" s="5" t="inlineStr">
        <is>
          <t>Established</t>
        </is>
      </c>
      <c r="D28" s="5" t="inlineStr">
        <is>
          <t>US/UK</t>
        </is>
      </c>
      <c r="E28" s="5" t="inlineStr">
        <is>
          <t>Comedy</t>
        </is>
      </c>
      <c r="F28" s="5" t="inlineStr">
        <is>
          <t>Action-comedy,Drama</t>
        </is>
      </c>
      <c r="G28" s="5" t="inlineStr">
        <is>
          <t>Mid/Studio</t>
        </is>
      </c>
      <c r="H28" s="5" t="inlineStr">
        <is>
          <t>comedic, commercial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>
        <is>
          <t>Seeded</t>
        </is>
      </c>
      <c r="S28" s="5" t="inlineStr">
        <is>
          <t>2026-01-29</t>
        </is>
      </c>
      <c r="T28" s="5" t="inlineStr">
        <is>
          <t>https://en.wikipedia.org/w/index.php?search=Adam+McKay</t>
        </is>
      </c>
      <c r="U28" s="5" t="inlineStr">
        <is>
          <t>https://www.imdb.com/find/?q=Adam+McKay&amp;s=nm</t>
        </is>
      </c>
      <c r="AO28" s="19">
        <f>IFERROR(VLOOKUP(AN28,BUDGET_BANDS!$A$2:$C$9,2,FALSE),"")</f>
        <v/>
      </c>
      <c r="AP28" s="19">
        <f>IFERROR(VLOOKUP(AN28,BUDGET_BANDS!$A$2:$C$9,3,FALSE),"")</f>
        <v/>
      </c>
    </row>
    <row r="29">
      <c r="A29" s="5" t="inlineStr">
        <is>
          <t>Alex Garland</t>
        </is>
      </c>
      <c r="B29" s="5" t="inlineStr">
        <is>
          <t>T2</t>
        </is>
      </c>
      <c r="C29" s="5" t="inlineStr">
        <is>
          <t>Established</t>
        </is>
      </c>
      <c r="D29" s="5" t="inlineStr">
        <is>
          <t>US/Intl</t>
        </is>
      </c>
      <c r="E29" s="5" t="inlineStr">
        <is>
          <t>Action</t>
        </is>
      </c>
      <c r="F29" s="5" t="inlineStr">
        <is>
          <t>Thriller/Mystery,Crime/Heist</t>
        </is>
      </c>
      <c r="G29" s="5" t="inlineStr">
        <is>
          <t>Studio/Mid</t>
        </is>
      </c>
      <c r="H29" s="5" t="inlineStr">
        <is>
          <t>propulsive, commercial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Seeded</t>
        </is>
      </c>
      <c r="S29" s="5" t="inlineStr">
        <is>
          <t>2026-01-29</t>
        </is>
      </c>
      <c r="T29" s="5" t="inlineStr">
        <is>
          <t>https://en.wikipedia.org/w/index.php?search=Alex+Garland</t>
        </is>
      </c>
      <c r="U29" s="5" t="inlineStr">
        <is>
          <t>https://www.imdb.com/find/?q=Alex+Garland&amp;s=nm</t>
        </is>
      </c>
      <c r="AO29" s="19">
        <f>IFERROR(VLOOKUP(AN29,BUDGET_BANDS!$A$2:$C$9,2,FALSE),"")</f>
        <v/>
      </c>
      <c r="AP29" s="19">
        <f>IFERROR(VLOOKUP(AN29,BUDGET_BANDS!$A$2:$C$9,3,FALSE),"")</f>
        <v/>
      </c>
    </row>
    <row r="30">
      <c r="A30" s="5" t="inlineStr">
        <is>
          <t>Alexander Payne</t>
        </is>
      </c>
      <c r="B30" s="5" t="inlineStr">
        <is>
          <t>T2</t>
        </is>
      </c>
      <c r="C30" s="5" t="inlineStr">
        <is>
          <t>Established</t>
        </is>
      </c>
      <c r="D30" s="5" t="inlineStr">
        <is>
          <t>US/Intl</t>
        </is>
      </c>
      <c r="E30" s="5" t="inlineStr">
        <is>
          <t>Prestige drama</t>
        </is>
      </c>
      <c r="F30" s="5" t="inlineStr">
        <is>
          <t>Drama,Biopic,Historical/Epic</t>
        </is>
      </c>
      <c r="G30" s="5" t="inlineStr">
        <is>
          <t>Mid/Studio</t>
        </is>
      </c>
      <c r="H30" s="5" t="inlineStr">
        <is>
          <t>character-forward, cinematic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Seeded</t>
        </is>
      </c>
      <c r="S30" s="5" t="inlineStr">
        <is>
          <t>2026-01-29</t>
        </is>
      </c>
      <c r="T30" s="5" t="inlineStr">
        <is>
          <t>https://en.wikipedia.org/w/index.php?search=Alexander+Payne</t>
        </is>
      </c>
      <c r="U30" s="5" t="inlineStr">
        <is>
          <t>https://www.imdb.com/find/?q=Alexander+Payne&amp;s=nm</t>
        </is>
      </c>
      <c r="AO30" s="19">
        <f>IFERROR(VLOOKUP(AN30,BUDGET_BANDS!$A$2:$C$9,2,FALSE),"")</f>
        <v/>
      </c>
      <c r="AP30" s="19">
        <f>IFERROR(VLOOKUP(AN30,BUDGET_BANDS!$A$2:$C$9,3,FALSE),"")</f>
        <v/>
      </c>
    </row>
    <row r="31">
      <c r="A31" s="5" t="inlineStr">
        <is>
          <t>Alexandre Aja</t>
        </is>
      </c>
      <c r="B31" s="5" t="inlineStr">
        <is>
          <t>T2</t>
        </is>
      </c>
      <c r="C31" s="5" t="inlineStr">
        <is>
          <t>Established</t>
        </is>
      </c>
      <c r="D31" s="5" t="inlineStr">
        <is>
          <t>US/Intl</t>
        </is>
      </c>
      <c r="E31" s="5" t="inlineStr">
        <is>
          <t>Horror</t>
        </is>
      </c>
      <c r="F31" s="5" t="inlineStr">
        <is>
          <t>Thriller/Mystery</t>
        </is>
      </c>
      <c r="G31" s="5" t="inlineStr">
        <is>
          <t>Low/Mid/Studio</t>
        </is>
      </c>
      <c r="H31" s="5" t="inlineStr">
        <is>
          <t>tense, atmospheric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>
        <is>
          <t>Seeded</t>
        </is>
      </c>
      <c r="S31" s="5" t="inlineStr">
        <is>
          <t>2026-01-29</t>
        </is>
      </c>
      <c r="T31" s="5" t="inlineStr">
        <is>
          <t>https://en.wikipedia.org/w/index.php?search=Alexandre+Aja</t>
        </is>
      </c>
      <c r="U31" s="5" t="inlineStr">
        <is>
          <t>https://www.imdb.com/find/?q=Alexandre+Aja&amp;s=nm</t>
        </is>
      </c>
      <c r="AO31" s="19">
        <f>IFERROR(VLOOKUP(AN31,BUDGET_BANDS!$A$2:$C$9,2,FALSE),"")</f>
        <v/>
      </c>
      <c r="AP31" s="19">
        <f>IFERROR(VLOOKUP(AN31,BUDGET_BANDS!$A$2:$C$9,3,FALSE),"")</f>
        <v/>
      </c>
    </row>
    <row r="32">
      <c r="A32" s="5" t="inlineStr">
        <is>
          <t>Andrew Adamson</t>
        </is>
      </c>
      <c r="B32" s="5" t="inlineStr">
        <is>
          <t>T2</t>
        </is>
      </c>
      <c r="C32" s="5" t="inlineStr">
        <is>
          <t>Established</t>
        </is>
      </c>
      <c r="D32" s="5" t="inlineStr">
        <is>
          <t>US/Intl</t>
        </is>
      </c>
      <c r="E32" s="5" t="inlineStr">
        <is>
          <t>Family</t>
        </is>
      </c>
      <c r="F32" s="5" t="inlineStr">
        <is>
          <t>Fantasy,Adventure,Animation</t>
        </is>
      </c>
      <c r="G32" s="5" t="inlineStr">
        <is>
          <t>Studio/Tentpole</t>
        </is>
      </c>
      <c r="H32" s="5" t="inlineStr">
        <is>
          <t>accessible, emotional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Seeded</t>
        </is>
      </c>
      <c r="S32" s="5" t="inlineStr">
        <is>
          <t>2026-01-29</t>
        </is>
      </c>
      <c r="T32" s="5" t="inlineStr">
        <is>
          <t>https://en.wikipedia.org/w/index.php?search=Andrew+Adamson</t>
        </is>
      </c>
      <c r="U32" s="5" t="inlineStr">
        <is>
          <t>https://www.imdb.com/find/?q=Andrew+Adamson&amp;s=nm</t>
        </is>
      </c>
      <c r="AO32" s="19">
        <f>IFERROR(VLOOKUP(AN32,BUDGET_BANDS!$A$2:$C$9,2,FALSE),"")</f>
        <v/>
      </c>
      <c r="AP32" s="19">
        <f>IFERROR(VLOOKUP(AN32,BUDGET_BANDS!$A$2:$C$9,3,FALSE),"")</f>
        <v/>
      </c>
    </row>
    <row r="33">
      <c r="A33" s="5" t="inlineStr">
        <is>
          <t>Andrew Haigh</t>
        </is>
      </c>
      <c r="B33" s="5" t="inlineStr">
        <is>
          <t>T2</t>
        </is>
      </c>
      <c r="C33" s="5" t="inlineStr">
        <is>
          <t>Established</t>
        </is>
      </c>
      <c r="D33" s="5" t="inlineStr">
        <is>
          <t>US/Intl</t>
        </is>
      </c>
      <c r="E33" s="5" t="inlineStr">
        <is>
          <t>Prestige drama</t>
        </is>
      </c>
      <c r="F33" s="5" t="inlineStr">
        <is>
          <t>Drama,Biopic,Historical/Epic</t>
        </is>
      </c>
      <c r="G33" s="5" t="inlineStr">
        <is>
          <t>Mid/Studio</t>
        </is>
      </c>
      <c r="H33" s="5" t="inlineStr">
        <is>
          <t>character-forward, cinematic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>
        <is>
          <t>Seeded</t>
        </is>
      </c>
      <c r="S33" s="5" t="inlineStr">
        <is>
          <t>2026-01-29</t>
        </is>
      </c>
      <c r="T33" s="5" t="inlineStr">
        <is>
          <t>https://en.wikipedia.org/w/index.php?search=Andrew+Haigh</t>
        </is>
      </c>
      <c r="U33" s="5" t="inlineStr">
        <is>
          <t>https://www.imdb.com/find/?q=Andrew+Haigh&amp;s=nm</t>
        </is>
      </c>
      <c r="AO33" s="19">
        <f>IFERROR(VLOOKUP(AN33,BUDGET_BANDS!$A$2:$C$9,2,FALSE),"")</f>
        <v/>
      </c>
      <c r="AP33" s="19">
        <f>IFERROR(VLOOKUP(AN33,BUDGET_BANDS!$A$2:$C$9,3,FALSE),"")</f>
        <v/>
      </c>
    </row>
    <row r="34">
      <c r="A34" s="5" t="inlineStr">
        <is>
          <t>Andy Muschietti</t>
        </is>
      </c>
      <c r="B34" s="5" t="inlineStr">
        <is>
          <t>T2</t>
        </is>
      </c>
      <c r="C34" s="5" t="inlineStr">
        <is>
          <t>Established</t>
        </is>
      </c>
      <c r="D34" s="5" t="inlineStr">
        <is>
          <t>US/Intl</t>
        </is>
      </c>
      <c r="E34" s="5" t="inlineStr">
        <is>
          <t>Horror</t>
        </is>
      </c>
      <c r="F34" s="5" t="inlineStr">
        <is>
          <t>Thriller/Mystery</t>
        </is>
      </c>
      <c r="G34" s="5" t="inlineStr">
        <is>
          <t>Low/Mid/Studio</t>
        </is>
      </c>
      <c r="H34" s="5" t="inlineStr">
        <is>
          <t>tense, atmospheric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Seeded</t>
        </is>
      </c>
      <c r="S34" s="5" t="inlineStr">
        <is>
          <t>2026-01-29</t>
        </is>
      </c>
      <c r="T34" s="5" t="inlineStr">
        <is>
          <t>https://en.wikipedia.org/w/index.php?search=Andy+Muschietti</t>
        </is>
      </c>
      <c r="U34" s="5" t="inlineStr">
        <is>
          <t>https://www.imdb.com/find/?q=Andy+Muschietti&amp;s=nm</t>
        </is>
      </c>
      <c r="AO34" s="19">
        <f>IFERROR(VLOOKUP(AN34,BUDGET_BANDS!$A$2:$C$9,2,FALSE),"")</f>
        <v/>
      </c>
      <c r="AP34" s="19">
        <f>IFERROR(VLOOKUP(AN34,BUDGET_BANDS!$A$2:$C$9,3,FALSE),"")</f>
        <v/>
      </c>
    </row>
    <row r="35">
      <c r="A35" s="5" t="inlineStr">
        <is>
          <t>Ang Lee</t>
        </is>
      </c>
      <c r="B35" s="5" t="inlineStr">
        <is>
          <t>T2</t>
        </is>
      </c>
      <c r="C35" s="5" t="inlineStr">
        <is>
          <t>Established</t>
        </is>
      </c>
      <c r="D35" s="5" t="inlineStr">
        <is>
          <t>US/Intl</t>
        </is>
      </c>
      <c r="E35" s="5" t="inlineStr">
        <is>
          <t>Family</t>
        </is>
      </c>
      <c r="F35" s="5" t="inlineStr">
        <is>
          <t>Fantasy,Adventure,Animation</t>
        </is>
      </c>
      <c r="G35" s="5" t="inlineStr">
        <is>
          <t>Studio/Tentpole</t>
        </is>
      </c>
      <c r="H35" s="5" t="inlineStr">
        <is>
          <t>accessible, emotional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>
        <is>
          <t>Seeded</t>
        </is>
      </c>
      <c r="S35" s="5" t="inlineStr">
        <is>
          <t>2026-01-29</t>
        </is>
      </c>
      <c r="T35" s="5" t="inlineStr">
        <is>
          <t>https://en.wikipedia.org/w/index.php?search=Ang+Lee</t>
        </is>
      </c>
      <c r="U35" s="5" t="inlineStr">
        <is>
          <t>https://www.imdb.com/find/?q=Ang+Lee&amp;s=nm</t>
        </is>
      </c>
      <c r="AO35" s="19">
        <f>IFERROR(VLOOKUP(AN35,BUDGET_BANDS!$A$2:$C$9,2,FALSE),"")</f>
        <v/>
      </c>
      <c r="AP35" s="19">
        <f>IFERROR(VLOOKUP(AN35,BUDGET_BANDS!$A$2:$C$9,3,FALSE),"")</f>
        <v/>
      </c>
    </row>
    <row r="36">
      <c r="A36" s="5" t="inlineStr">
        <is>
          <t>Antoine Fuqua</t>
        </is>
      </c>
      <c r="B36" s="5" t="inlineStr">
        <is>
          <t>T2</t>
        </is>
      </c>
      <c r="C36" s="5" t="inlineStr">
        <is>
          <t>Established</t>
        </is>
      </c>
      <c r="D36" s="5" t="inlineStr">
        <is>
          <t>US/Intl</t>
        </is>
      </c>
      <c r="E36" s="5" t="inlineStr">
        <is>
          <t>Action</t>
        </is>
      </c>
      <c r="F36" s="5" t="inlineStr">
        <is>
          <t>Thriller/Mystery,Crime/Heist</t>
        </is>
      </c>
      <c r="G36" s="5" t="inlineStr">
        <is>
          <t>Studio/Mid</t>
        </is>
      </c>
      <c r="H36" s="5" t="inlineStr">
        <is>
          <t>propulsive, commercial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>
        <is>
          <t>Seeded</t>
        </is>
      </c>
      <c r="S36" s="5" t="inlineStr">
        <is>
          <t>2026-01-29</t>
        </is>
      </c>
      <c r="T36" s="5" t="inlineStr">
        <is>
          <t>https://en.wikipedia.org/w/index.php?search=Antoine+Fuqua</t>
        </is>
      </c>
      <c r="U36" s="5" t="inlineStr">
        <is>
          <t>https://www.imdb.com/find/?q=Antoine+Fuqua&amp;s=nm</t>
        </is>
      </c>
      <c r="AO36" s="19">
        <f>IFERROR(VLOOKUP(AN36,BUDGET_BANDS!$A$2:$C$9,2,FALSE),"")</f>
        <v/>
      </c>
      <c r="AP36" s="19">
        <f>IFERROR(VLOOKUP(AN36,BUDGET_BANDS!$A$2:$C$9,3,FALSE),"")</f>
        <v/>
      </c>
    </row>
    <row r="37">
      <c r="A37" s="5" t="inlineStr">
        <is>
          <t>Ari Aster</t>
        </is>
      </c>
      <c r="B37" s="5" t="inlineStr">
        <is>
          <t>T2</t>
        </is>
      </c>
      <c r="C37" s="5" t="inlineStr">
        <is>
          <t>Hot (auteur to studio)</t>
        </is>
      </c>
      <c r="D37" s="5" t="inlineStr"/>
      <c r="E37" s="5" t="inlineStr">
        <is>
          <t>Elevated horror</t>
        </is>
      </c>
      <c r="F37" s="5" t="inlineStr">
        <is>
          <t>Dark comedy, drama</t>
        </is>
      </c>
      <c r="G37" s="5" t="inlineStr">
        <is>
          <t>$10M–$60M</t>
        </is>
      </c>
      <c r="H37" s="5" t="inlineStr">
        <is>
          <t>Anxiety, dread, surreal humor</t>
        </is>
      </c>
      <c r="I37" s="5" t="inlineStr">
        <is>
          <t>Eddington (2025); Beau Is Afraid (2023); Midsommar (2019)</t>
        </is>
      </c>
      <c r="J37" s="5" t="inlineStr">
        <is>
          <t>Eddington</t>
        </is>
      </c>
      <c r="K37" s="5" t="n">
        <v>2025</v>
      </c>
      <c r="L37" s="5" t="inlineStr">
        <is>
          <t>Theatrical (limited)</t>
        </is>
      </c>
      <c r="M37" s="5" t="inlineStr">
        <is>
          <t>TBA</t>
        </is>
      </c>
      <c r="N37" s="5" t="inlineStr">
        <is>
          <t>TBD</t>
        </is>
      </c>
      <c r="O37" s="5" t="n">
        <v>4</v>
      </c>
      <c r="P37" s="5" t="inlineStr">
        <is>
          <t>Strong tone setter; actor interest high but commercially variable.</t>
        </is>
      </c>
      <c r="Q37" s="5" t="inlineStr">
        <is>
          <t>Can push into longer shoots for complex tone work.</t>
        </is>
      </c>
      <c r="R37" s="5" t="inlineStr">
        <is>
          <t>In TOP sheet</t>
        </is>
      </c>
      <c r="S37" s="5" t="inlineStr">
        <is>
          <t>2026-01-29</t>
        </is>
      </c>
      <c r="T37" s="5" t="inlineStr">
        <is>
          <t>https://en.wikipedia.org/w/index.php?search=Ari+Aster</t>
        </is>
      </c>
      <c r="U37" s="5" t="inlineStr">
        <is>
          <t>https://www.imdb.com/find/?q=Ari+Aster&amp;s=nm</t>
        </is>
      </c>
      <c r="AO37" s="19">
        <f>IFERROR(VLOOKUP(AN37,BUDGET_BANDS!$A$2:$C$9,2,FALSE),"")</f>
        <v/>
      </c>
      <c r="AP37" s="19">
        <f>IFERROR(VLOOKUP(AN37,BUDGET_BANDS!$A$2:$C$9,3,FALSE),"")</f>
        <v/>
      </c>
    </row>
    <row r="38">
      <c r="A38" s="5" t="inlineStr">
        <is>
          <t>Armando Iannucci</t>
        </is>
      </c>
      <c r="B38" s="5" t="inlineStr">
        <is>
          <t>T2</t>
        </is>
      </c>
      <c r="C38" s="5" t="inlineStr">
        <is>
          <t>Established</t>
        </is>
      </c>
      <c r="D38" s="5" t="inlineStr">
        <is>
          <t>US/UK</t>
        </is>
      </c>
      <c r="E38" s="5" t="inlineStr">
        <is>
          <t>Comedy</t>
        </is>
      </c>
      <c r="F38" s="5" t="inlineStr">
        <is>
          <t>Action-comedy,Drama</t>
        </is>
      </c>
      <c r="G38" s="5" t="inlineStr">
        <is>
          <t>Mid/Studio</t>
        </is>
      </c>
      <c r="H38" s="5" t="inlineStr">
        <is>
          <t>comedic, commercial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>
        <is>
          <t>Seeded</t>
        </is>
      </c>
      <c r="S38" s="5" t="inlineStr">
        <is>
          <t>2026-01-29</t>
        </is>
      </c>
      <c r="T38" s="5" t="inlineStr">
        <is>
          <t>https://en.wikipedia.org/w/index.php?search=Armando+Iannucci</t>
        </is>
      </c>
      <c r="U38" s="5" t="inlineStr">
        <is>
          <t>https://www.imdb.com/find/?q=Armando+Iannucci&amp;s=nm</t>
        </is>
      </c>
      <c r="AO38" s="19">
        <f>IFERROR(VLOOKUP(AN38,BUDGET_BANDS!$A$2:$C$9,2,FALSE),"")</f>
        <v/>
      </c>
      <c r="AP38" s="19">
        <f>IFERROR(VLOOKUP(AN38,BUDGET_BANDS!$A$2:$C$9,3,FALSE),"")</f>
        <v/>
      </c>
    </row>
    <row r="39">
      <c r="A39" s="5" t="inlineStr">
        <is>
          <t>Asghar Farhadi</t>
        </is>
      </c>
      <c r="B39" s="5" t="inlineStr">
        <is>
          <t>T2</t>
        </is>
      </c>
      <c r="C39" s="5" t="inlineStr">
        <is>
          <t>Established</t>
        </is>
      </c>
      <c r="D39" s="5" t="inlineStr">
        <is>
          <t>US/Intl</t>
        </is>
      </c>
      <c r="E39" s="5" t="inlineStr">
        <is>
          <t>Prestige drama</t>
        </is>
      </c>
      <c r="F39" s="5" t="inlineStr">
        <is>
          <t>Drama,Biopic,Historical/Epic</t>
        </is>
      </c>
      <c r="G39" s="5" t="inlineStr">
        <is>
          <t>Mid/Studio</t>
        </is>
      </c>
      <c r="H39" s="5" t="inlineStr">
        <is>
          <t>character-forward, cinematic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>
        <is>
          <t>Seeded</t>
        </is>
      </c>
      <c r="S39" s="5" t="inlineStr">
        <is>
          <t>2026-01-29</t>
        </is>
      </c>
      <c r="T39" s="5" t="inlineStr">
        <is>
          <t>https://en.wikipedia.org/w/index.php?search=Asghar+Farhadi</t>
        </is>
      </c>
      <c r="U39" s="5" t="inlineStr">
        <is>
          <t>https://www.imdb.com/find/?q=Asghar+Farhadi&amp;s=nm</t>
        </is>
      </c>
      <c r="AO39" s="19">
        <f>IFERROR(VLOOKUP(AN39,BUDGET_BANDS!$A$2:$C$9,2,FALSE),"")</f>
        <v/>
      </c>
      <c r="AP39" s="19">
        <f>IFERROR(VLOOKUP(AN39,BUDGET_BANDS!$A$2:$C$9,3,FALSE),"")</f>
        <v/>
      </c>
    </row>
    <row r="40">
      <c r="A40" s="5" t="inlineStr">
        <is>
          <t>Ava DuVernay</t>
        </is>
      </c>
      <c r="B40" s="5" t="inlineStr">
        <is>
          <t>T2</t>
        </is>
      </c>
      <c r="C40" s="5" t="inlineStr">
        <is>
          <t>Established</t>
        </is>
      </c>
      <c r="D40" s="5" t="inlineStr">
        <is>
          <t>US/Intl</t>
        </is>
      </c>
      <c r="E40" s="5" t="inlineStr">
        <is>
          <t>Prestige drama</t>
        </is>
      </c>
      <c r="F40" s="5" t="inlineStr">
        <is>
          <t>Drama,Biopic,Historical/Epic</t>
        </is>
      </c>
      <c r="G40" s="5" t="inlineStr">
        <is>
          <t>Mid/Studio</t>
        </is>
      </c>
      <c r="H40" s="5" t="inlineStr">
        <is>
          <t>character-forward, cinematic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>
        <is>
          <t>Seeded</t>
        </is>
      </c>
      <c r="S40" s="5" t="inlineStr">
        <is>
          <t>2026-01-29</t>
        </is>
      </c>
      <c r="T40" s="5" t="inlineStr">
        <is>
          <t>https://en.wikipedia.org/w/index.php?search=Ava+DuVernay</t>
        </is>
      </c>
      <c r="U40" s="5" t="inlineStr">
        <is>
          <t>https://www.imdb.com/find/?q=Ava+DuVernay&amp;s=nm</t>
        </is>
      </c>
      <c r="AO40" s="19">
        <f>IFERROR(VLOOKUP(AN40,BUDGET_BANDS!$A$2:$C$9,2,FALSE),"")</f>
        <v/>
      </c>
      <c r="AP40" s="19">
        <f>IFERROR(VLOOKUP(AN40,BUDGET_BANDS!$A$2:$C$9,3,FALSE),"")</f>
        <v/>
      </c>
    </row>
    <row r="41">
      <c r="A41" s="5" t="inlineStr">
        <is>
          <t>Baltasar Kormákur</t>
        </is>
      </c>
      <c r="B41" s="5" t="inlineStr">
        <is>
          <t>T2</t>
        </is>
      </c>
      <c r="C41" s="5" t="inlineStr">
        <is>
          <t>Established</t>
        </is>
      </c>
      <c r="D41" s="5" t="inlineStr">
        <is>
          <t>US/Intl</t>
        </is>
      </c>
      <c r="E41" s="5" t="inlineStr">
        <is>
          <t>Action</t>
        </is>
      </c>
      <c r="F41" s="5" t="inlineStr">
        <is>
          <t>Thriller/Mystery,Crime/Heist</t>
        </is>
      </c>
      <c r="G41" s="5" t="inlineStr">
        <is>
          <t>Studio/Mid</t>
        </is>
      </c>
      <c r="H41" s="5" t="inlineStr">
        <is>
          <t>propulsive, commercial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>
        <is>
          <t>Seeded</t>
        </is>
      </c>
      <c r="S41" s="5" t="inlineStr">
        <is>
          <t>2026-01-29</t>
        </is>
      </c>
      <c r="T41" s="5" t="inlineStr">
        <is>
          <t>https://en.wikipedia.org/w/index.php?search=Baltasar+Korm%C3%A1kur</t>
        </is>
      </c>
      <c r="U41" s="5" t="inlineStr">
        <is>
          <t>https://www.imdb.com/find/?q=Baltasar+Korm%C3%A1kur&amp;s=nm</t>
        </is>
      </c>
      <c r="AO41" s="19">
        <f>IFERROR(VLOOKUP(AN41,BUDGET_BANDS!$A$2:$C$9,2,FALSE),"")</f>
        <v/>
      </c>
      <c r="AP41" s="19">
        <f>IFERROR(VLOOKUP(AN41,BUDGET_BANDS!$A$2:$C$9,3,FALSE),"")</f>
        <v/>
      </c>
    </row>
    <row r="42">
      <c r="A42" s="5" t="inlineStr">
        <is>
          <t>Bille August</t>
        </is>
      </c>
      <c r="B42" s="5" t="inlineStr">
        <is>
          <t>T2</t>
        </is>
      </c>
      <c r="C42" s="5" t="inlineStr">
        <is>
          <t>Established</t>
        </is>
      </c>
      <c r="D42" s="5" t="inlineStr">
        <is>
          <t>US/Intl</t>
        </is>
      </c>
      <c r="E42" s="5" t="inlineStr">
        <is>
          <t>Prestige drama</t>
        </is>
      </c>
      <c r="F42" s="5" t="inlineStr">
        <is>
          <t>Drama,Biopic,Historical/Epic</t>
        </is>
      </c>
      <c r="G42" s="5" t="inlineStr">
        <is>
          <t>Mid/Studio</t>
        </is>
      </c>
      <c r="H42" s="5" t="inlineStr">
        <is>
          <t>character-forward, cinematic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>
        <is>
          <t>Seeded</t>
        </is>
      </c>
      <c r="S42" s="5" t="inlineStr">
        <is>
          <t>2026-01-29</t>
        </is>
      </c>
      <c r="T42" s="5" t="inlineStr">
        <is>
          <t>https://en.wikipedia.org/w/index.php?search=Bille+August</t>
        </is>
      </c>
      <c r="U42" s="5" t="inlineStr">
        <is>
          <t>https://www.imdb.com/find/?q=Bille+August&amp;s=nm</t>
        </is>
      </c>
      <c r="AO42" s="19">
        <f>IFERROR(VLOOKUP(AN42,BUDGET_BANDS!$A$2:$C$9,2,FALSE),"")</f>
        <v/>
      </c>
      <c r="AP42" s="19">
        <f>IFERROR(VLOOKUP(AN42,BUDGET_BANDS!$A$2:$C$9,3,FALSE),"")</f>
        <v/>
      </c>
    </row>
    <row r="43">
      <c r="A43" s="5" t="inlineStr">
        <is>
          <t>Brad Bird</t>
        </is>
      </c>
      <c r="B43" s="5" t="inlineStr">
        <is>
          <t>T2</t>
        </is>
      </c>
      <c r="C43" s="5" t="inlineStr">
        <is>
          <t>Established</t>
        </is>
      </c>
      <c r="D43" s="5" t="inlineStr">
        <is>
          <t>US/Intl</t>
        </is>
      </c>
      <c r="E43" s="5" t="inlineStr">
        <is>
          <t>Animation</t>
        </is>
      </c>
      <c r="F43" s="5" t="inlineStr">
        <is>
          <t>Family,Fantasy</t>
        </is>
      </c>
      <c r="G43" s="5" t="inlineStr">
        <is>
          <t>Studio</t>
        </is>
      </c>
      <c r="H43" s="5" t="inlineStr">
        <is>
          <t>animated, family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>
        <is>
          <t>Seeded</t>
        </is>
      </c>
      <c r="S43" s="5" t="inlineStr">
        <is>
          <t>2026-01-29</t>
        </is>
      </c>
      <c r="T43" s="5" t="inlineStr">
        <is>
          <t>https://en.wikipedia.org/w/index.php?search=Brad+Bird</t>
        </is>
      </c>
      <c r="U43" s="5" t="inlineStr">
        <is>
          <t>https://www.imdb.com/find/?q=Brad+Bird&amp;s=nm</t>
        </is>
      </c>
      <c r="AO43" s="19">
        <f>IFERROR(VLOOKUP(AN43,BUDGET_BANDS!$A$2:$C$9,2,FALSE),"")</f>
        <v/>
      </c>
      <c r="AP43" s="19">
        <f>IFERROR(VLOOKUP(AN43,BUDGET_BANDS!$A$2:$C$9,3,FALSE),"")</f>
        <v/>
      </c>
    </row>
    <row r="44">
      <c r="A44" s="5" t="inlineStr">
        <is>
          <t>Byron Howard</t>
        </is>
      </c>
      <c r="B44" s="5" t="inlineStr">
        <is>
          <t>T2</t>
        </is>
      </c>
      <c r="C44" s="5" t="inlineStr">
        <is>
          <t>Established</t>
        </is>
      </c>
      <c r="D44" s="5" t="inlineStr">
        <is>
          <t>US/Intl</t>
        </is>
      </c>
      <c r="E44" s="5" t="inlineStr">
        <is>
          <t>Animation</t>
        </is>
      </c>
      <c r="F44" s="5" t="inlineStr">
        <is>
          <t>Family,Fantasy</t>
        </is>
      </c>
      <c r="G44" s="5" t="inlineStr">
        <is>
          <t>Studio</t>
        </is>
      </c>
      <c r="H44" s="5" t="inlineStr">
        <is>
          <t>animated, family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>
        <is>
          <t>Seeded</t>
        </is>
      </c>
      <c r="S44" s="5" t="inlineStr">
        <is>
          <t>2026-01-29</t>
        </is>
      </c>
      <c r="T44" s="5" t="inlineStr">
        <is>
          <t>https://en.wikipedia.org/w/index.php?search=Byron+Howard</t>
        </is>
      </c>
      <c r="U44" s="5" t="inlineStr">
        <is>
          <t>https://www.imdb.com/find/?q=Byron+Howard&amp;s=nm</t>
        </is>
      </c>
      <c r="AO44" s="19">
        <f>IFERROR(VLOOKUP(AN44,BUDGET_BANDS!$A$2:$C$9,2,FALSE),"")</f>
        <v/>
      </c>
      <c r="AP44" s="19">
        <f>IFERROR(VLOOKUP(AN44,BUDGET_BANDS!$A$2:$C$9,3,FALSE),"")</f>
        <v/>
      </c>
    </row>
    <row r="45">
      <c r="A45" s="5" t="inlineStr">
        <is>
          <t>Chloé Zhao</t>
        </is>
      </c>
      <c r="B45" s="5" t="inlineStr">
        <is>
          <t>T2</t>
        </is>
      </c>
      <c r="C45" s="5" t="inlineStr">
        <is>
          <t>Prestige (selective)</t>
        </is>
      </c>
      <c r="D45" s="5" t="inlineStr"/>
      <c r="E45" s="5" t="inlineStr">
        <is>
          <t>Intimate drama</t>
        </is>
      </c>
      <c r="F45" s="5" t="inlineStr">
        <is>
          <t>Historical</t>
        </is>
      </c>
      <c r="G45" s="5" t="inlineStr">
        <is>
          <t>$10M–$60M</t>
        </is>
      </c>
      <c r="H45" s="5" t="inlineStr">
        <is>
          <t>Naturalism, lyricism</t>
        </is>
      </c>
      <c r="I45" s="5" t="inlineStr">
        <is>
          <t>Hamnet (2025); Eternals (2021); Nomadland (2020)</t>
        </is>
      </c>
      <c r="J45" s="5" t="inlineStr">
        <is>
          <t>Hamnet</t>
        </is>
      </c>
      <c r="K45" s="5" t="n">
        <v>2025</v>
      </c>
      <c r="L45" s="5" t="inlineStr">
        <is>
          <t>Theatrical</t>
        </is>
      </c>
      <c r="M45" s="5" t="inlineStr">
        <is>
          <t>TBA</t>
        </is>
      </c>
      <c r="N45" s="5" t="inlineStr">
        <is>
          <t>TBD</t>
        </is>
      </c>
      <c r="O45" s="5" t="n">
        <v>3</v>
      </c>
      <c r="P45" s="5" t="inlineStr">
        <is>
          <t>Strong awards lane attachment; not a commercial genre lever.</t>
        </is>
      </c>
      <c r="Q45" s="5" t="inlineStr">
        <is>
          <t>Often location/available-light oriented.</t>
        </is>
      </c>
      <c r="R45" s="5" t="inlineStr">
        <is>
          <t>In TOP sheet</t>
        </is>
      </c>
      <c r="S45" s="5" t="inlineStr">
        <is>
          <t>2026-01-29</t>
        </is>
      </c>
      <c r="T45" s="5" t="inlineStr">
        <is>
          <t>https://en.wikipedia.org/w/index.php?search=Chlo%C3%A9+Zhao</t>
        </is>
      </c>
      <c r="U45" s="5" t="inlineStr">
        <is>
          <t>https://www.imdb.com/find/?q=Chlo%C3%A9+Zhao&amp;s=nm</t>
        </is>
      </c>
      <c r="AO45" s="19">
        <f>IFERROR(VLOOKUP(AN45,BUDGET_BANDS!$A$2:$C$9,2,FALSE),"")</f>
        <v/>
      </c>
      <c r="AP45" s="19">
        <f>IFERROR(VLOOKUP(AN45,BUDGET_BANDS!$A$2:$C$9,3,FALSE),"")</f>
        <v/>
      </c>
    </row>
    <row r="46">
      <c r="A46" s="5" t="inlineStr">
        <is>
          <t>Chris Buck</t>
        </is>
      </c>
      <c r="B46" s="5" t="inlineStr">
        <is>
          <t>T2</t>
        </is>
      </c>
      <c r="C46" s="5" t="inlineStr">
        <is>
          <t>Established</t>
        </is>
      </c>
      <c r="D46" s="5" t="inlineStr">
        <is>
          <t>US/Intl</t>
        </is>
      </c>
      <c r="E46" s="5" t="inlineStr">
        <is>
          <t>Animation</t>
        </is>
      </c>
      <c r="F46" s="5" t="inlineStr">
        <is>
          <t>Family,Fantasy</t>
        </is>
      </c>
      <c r="G46" s="5" t="inlineStr">
        <is>
          <t>Studio</t>
        </is>
      </c>
      <c r="H46" s="5" t="inlineStr">
        <is>
          <t>animated, family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>
        <is>
          <t>Seeded</t>
        </is>
      </c>
      <c r="S46" s="5" t="inlineStr">
        <is>
          <t>2026-01-29</t>
        </is>
      </c>
      <c r="T46" s="5" t="inlineStr">
        <is>
          <t>https://en.wikipedia.org/w/index.php?search=Chris+Buck</t>
        </is>
      </c>
      <c r="U46" s="5" t="inlineStr">
        <is>
          <t>https://www.imdb.com/find/?q=Chris+Buck&amp;s=nm</t>
        </is>
      </c>
      <c r="AO46" s="19">
        <f>IFERROR(VLOOKUP(AN46,BUDGET_BANDS!$A$2:$C$9,2,FALSE),"")</f>
        <v/>
      </c>
      <c r="AP46" s="19">
        <f>IFERROR(VLOOKUP(AN46,BUDGET_BANDS!$A$2:$C$9,3,FALSE),"")</f>
        <v/>
      </c>
    </row>
    <row r="47">
      <c r="A47" s="5" t="inlineStr">
        <is>
          <t>Chris Columbus</t>
        </is>
      </c>
      <c r="B47" s="5" t="inlineStr">
        <is>
          <t>T2</t>
        </is>
      </c>
      <c r="C47" s="5" t="inlineStr">
        <is>
          <t>Established</t>
        </is>
      </c>
      <c r="D47" s="5" t="inlineStr">
        <is>
          <t>US/Intl</t>
        </is>
      </c>
      <c r="E47" s="5" t="inlineStr">
        <is>
          <t>Family</t>
        </is>
      </c>
      <c r="F47" s="5" t="inlineStr">
        <is>
          <t>Fantasy,Adventure,Animation</t>
        </is>
      </c>
      <c r="G47" s="5" t="inlineStr">
        <is>
          <t>Studio/Tentpole</t>
        </is>
      </c>
      <c r="H47" s="5" t="inlineStr">
        <is>
          <t>accessible, emotional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>
        <is>
          <t>Seeded</t>
        </is>
      </c>
      <c r="S47" s="5" t="inlineStr">
        <is>
          <t>2026-01-29</t>
        </is>
      </c>
      <c r="T47" s="5" t="inlineStr">
        <is>
          <t>https://en.wikipedia.org/w/index.php?search=Chris+Columbus</t>
        </is>
      </c>
      <c r="U47" s="5" t="inlineStr">
        <is>
          <t>https://www.imdb.com/find/?q=Chris+Columbus&amp;s=nm</t>
        </is>
      </c>
      <c r="AO47" s="19">
        <f>IFERROR(VLOOKUP(AN47,BUDGET_BANDS!$A$2:$C$9,2,FALSE),"")</f>
        <v/>
      </c>
      <c r="AP47" s="19">
        <f>IFERROR(VLOOKUP(AN47,BUDGET_BANDS!$A$2:$C$9,3,FALSE),"")</f>
        <v/>
      </c>
    </row>
    <row r="48">
      <c r="A48" s="5" t="inlineStr">
        <is>
          <t>Chris McKay</t>
        </is>
      </c>
      <c r="B48" s="5" t="inlineStr">
        <is>
          <t>T2</t>
        </is>
      </c>
      <c r="C48" s="5" t="inlineStr">
        <is>
          <t>Established</t>
        </is>
      </c>
      <c r="D48" s="5" t="inlineStr">
        <is>
          <t>US/Intl</t>
        </is>
      </c>
      <c r="E48" s="5" t="inlineStr">
        <is>
          <t>Family</t>
        </is>
      </c>
      <c r="F48" s="5" t="inlineStr">
        <is>
          <t>Fantasy,Adventure,Animation</t>
        </is>
      </c>
      <c r="G48" s="5" t="inlineStr">
        <is>
          <t>Studio/Tentpole</t>
        </is>
      </c>
      <c r="H48" s="5" t="inlineStr">
        <is>
          <t>accessible, emotional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>
        <is>
          <t>Seeded</t>
        </is>
      </c>
      <c r="S48" s="5" t="inlineStr">
        <is>
          <t>2026-01-29</t>
        </is>
      </c>
      <c r="T48" s="5" t="inlineStr">
        <is>
          <t>https://en.wikipedia.org/w/index.php?search=Chris+McKay</t>
        </is>
      </c>
      <c r="U48" s="5" t="inlineStr">
        <is>
          <t>https://www.imdb.com/find/?q=Chris+McKay&amp;s=nm</t>
        </is>
      </c>
      <c r="AO48" s="19">
        <f>IFERROR(VLOOKUP(AN48,BUDGET_BANDS!$A$2:$C$9,2,FALSE),"")</f>
        <v/>
      </c>
      <c r="AP48" s="19">
        <f>IFERROR(VLOOKUP(AN48,BUDGET_BANDS!$A$2:$C$9,3,FALSE),"")</f>
        <v/>
      </c>
    </row>
    <row r="49">
      <c r="A49" s="5" t="inlineStr">
        <is>
          <t>Chris Sanders</t>
        </is>
      </c>
      <c r="B49" s="5" t="inlineStr">
        <is>
          <t>T2</t>
        </is>
      </c>
      <c r="C49" s="5" t="inlineStr">
        <is>
          <t>Established</t>
        </is>
      </c>
      <c r="D49" s="5" t="inlineStr">
        <is>
          <t>US/Intl</t>
        </is>
      </c>
      <c r="E49" s="5" t="inlineStr">
        <is>
          <t>Animation</t>
        </is>
      </c>
      <c r="F49" s="5" t="inlineStr">
        <is>
          <t>Family,Fantasy</t>
        </is>
      </c>
      <c r="G49" s="5" t="inlineStr">
        <is>
          <t>Studio</t>
        </is>
      </c>
      <c r="H49" s="5" t="inlineStr">
        <is>
          <t>animated, family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>
        <is>
          <t>Seeded</t>
        </is>
      </c>
      <c r="S49" s="5" t="inlineStr">
        <is>
          <t>2026-01-29</t>
        </is>
      </c>
      <c r="T49" s="5" t="inlineStr">
        <is>
          <t>https://en.wikipedia.org/w/index.php?search=Chris+Sanders</t>
        </is>
      </c>
      <c r="U49" s="5" t="inlineStr">
        <is>
          <t>https://www.imdb.com/find/?q=Chris+Sanders&amp;s=nm</t>
        </is>
      </c>
      <c r="AO49" s="19">
        <f>IFERROR(VLOOKUP(AN49,BUDGET_BANDS!$A$2:$C$9,2,FALSE),"")</f>
        <v/>
      </c>
      <c r="AP49" s="19">
        <f>IFERROR(VLOOKUP(AN49,BUDGET_BANDS!$A$2:$C$9,3,FALSE),"")</f>
        <v/>
      </c>
    </row>
    <row r="50">
      <c r="A50" s="5" t="inlineStr">
        <is>
          <t>Christopher Miller</t>
        </is>
      </c>
      <c r="B50" s="5" t="inlineStr">
        <is>
          <t>T2</t>
        </is>
      </c>
      <c r="C50" s="5" t="inlineStr">
        <is>
          <t>Established</t>
        </is>
      </c>
      <c r="D50" s="5" t="inlineStr">
        <is>
          <t>US/UK</t>
        </is>
      </c>
      <c r="E50" s="5" t="inlineStr">
        <is>
          <t>Comedy</t>
        </is>
      </c>
      <c r="F50" s="5" t="inlineStr">
        <is>
          <t>Action-comedy,Drama</t>
        </is>
      </c>
      <c r="G50" s="5" t="inlineStr">
        <is>
          <t>Mid/Studio</t>
        </is>
      </c>
      <c r="H50" s="5" t="inlineStr">
        <is>
          <t>comedic, commercial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>
        <is>
          <t>Seeded</t>
        </is>
      </c>
      <c r="S50" s="5" t="inlineStr">
        <is>
          <t>2026-01-29</t>
        </is>
      </c>
      <c r="T50" s="5" t="inlineStr">
        <is>
          <t>https://en.wikipedia.org/w/index.php?search=Christopher+Miller</t>
        </is>
      </c>
      <c r="U50" s="5" t="inlineStr">
        <is>
          <t>https://www.imdb.com/find/?q=Christopher+Miller&amp;s=nm</t>
        </is>
      </c>
      <c r="AO50" s="19">
        <f>IFERROR(VLOOKUP(AN50,BUDGET_BANDS!$A$2:$C$9,2,FALSE),"")</f>
        <v/>
      </c>
      <c r="AP50" s="19">
        <f>IFERROR(VLOOKUP(AN50,BUDGET_BANDS!$A$2:$C$9,3,FALSE),"")</f>
        <v/>
      </c>
    </row>
    <row r="51">
      <c r="A51" s="5" t="inlineStr">
        <is>
          <t>Colin Trevorrow</t>
        </is>
      </c>
      <c r="B51" s="5" t="inlineStr">
        <is>
          <t>T2</t>
        </is>
      </c>
      <c r="C51" s="5" t="inlineStr">
        <is>
          <t>Established</t>
        </is>
      </c>
      <c r="D51" s="5" t="inlineStr">
        <is>
          <t>US/Intl</t>
        </is>
      </c>
      <c r="E51" s="5" t="inlineStr">
        <is>
          <t>Sci-fi</t>
        </is>
      </c>
      <c r="F51" s="5" t="inlineStr">
        <is>
          <t>Action,Thriller/Mystery</t>
        </is>
      </c>
      <c r="G51" s="5" t="inlineStr">
        <is>
          <t>Studio/Tentpole</t>
        </is>
      </c>
      <c r="H51" s="5" t="inlineStr">
        <is>
          <t>concept-driven, visual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>
        <is>
          <t>Seeded</t>
        </is>
      </c>
      <c r="S51" s="5" t="inlineStr">
        <is>
          <t>2026-01-29</t>
        </is>
      </c>
      <c r="T51" s="5" t="inlineStr">
        <is>
          <t>https://en.wikipedia.org/w/index.php?search=Colin+Trevorrow</t>
        </is>
      </c>
      <c r="U51" s="5" t="inlineStr">
        <is>
          <t>https://www.imdb.com/find/?q=Colin+Trevorrow&amp;s=nm</t>
        </is>
      </c>
      <c r="AO51" s="19">
        <f>IFERROR(VLOOKUP(AN51,BUDGET_BANDS!$A$2:$C$9,2,FALSE),"")</f>
        <v/>
      </c>
      <c r="AP51" s="19">
        <f>IFERROR(VLOOKUP(AN51,BUDGET_BANDS!$A$2:$C$9,3,FALSE),"")</f>
        <v/>
      </c>
    </row>
    <row r="52">
      <c r="A52" s="5" t="inlineStr">
        <is>
          <t>Craig Gillespie</t>
        </is>
      </c>
      <c r="B52" s="5" t="inlineStr">
        <is>
          <t>T2</t>
        </is>
      </c>
      <c r="C52" s="5" t="inlineStr">
        <is>
          <t>Established</t>
        </is>
      </c>
      <c r="D52" s="5" t="inlineStr">
        <is>
          <t>US/Intl</t>
        </is>
      </c>
      <c r="E52" s="5" t="inlineStr">
        <is>
          <t>Prestige drama</t>
        </is>
      </c>
      <c r="F52" s="5" t="inlineStr">
        <is>
          <t>Drama,Biopic,Historical/Epic</t>
        </is>
      </c>
      <c r="G52" s="5" t="inlineStr">
        <is>
          <t>Mid/Studio</t>
        </is>
      </c>
      <c r="H52" s="5" t="inlineStr">
        <is>
          <t>character-forward, cinematic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>
        <is>
          <t>Seeded</t>
        </is>
      </c>
      <c r="S52" s="5" t="inlineStr">
        <is>
          <t>2026-01-29</t>
        </is>
      </c>
      <c r="T52" s="5" t="inlineStr">
        <is>
          <t>https://en.wikipedia.org/w/index.php?search=Craig+Gillespie</t>
        </is>
      </c>
      <c r="U52" s="5" t="inlineStr">
        <is>
          <t>https://www.imdb.com/find/?q=Craig+Gillespie&amp;s=nm</t>
        </is>
      </c>
      <c r="AO52" s="19">
        <f>IFERROR(VLOOKUP(AN52,BUDGET_BANDS!$A$2:$C$9,2,FALSE),"")</f>
        <v/>
      </c>
      <c r="AP52" s="19">
        <f>IFERROR(VLOOKUP(AN52,BUDGET_BANDS!$A$2:$C$9,3,FALSE),"")</f>
        <v/>
      </c>
    </row>
    <row r="53">
      <c r="A53" s="5" t="inlineStr">
        <is>
          <t>D. J. Caruso</t>
        </is>
      </c>
      <c r="B53" s="5" t="inlineStr">
        <is>
          <t>T2</t>
        </is>
      </c>
      <c r="C53" s="5" t="inlineStr">
        <is>
          <t>Established</t>
        </is>
      </c>
      <c r="D53" s="5" t="inlineStr">
        <is>
          <t>US/Intl</t>
        </is>
      </c>
      <c r="E53" s="5" t="inlineStr">
        <is>
          <t>Action</t>
        </is>
      </c>
      <c r="F53" s="5" t="inlineStr">
        <is>
          <t>Thriller/Mystery,Crime/Heist</t>
        </is>
      </c>
      <c r="G53" s="5" t="inlineStr">
        <is>
          <t>Studio/Mid</t>
        </is>
      </c>
      <c r="H53" s="5" t="inlineStr">
        <is>
          <t>propulsive, commercial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>
        <is>
          <t>Seeded</t>
        </is>
      </c>
      <c r="S53" s="5" t="inlineStr">
        <is>
          <t>2026-01-29</t>
        </is>
      </c>
      <c r="T53" s="5" t="inlineStr">
        <is>
          <t>https://en.wikipedia.org/w/index.php?search=D.+J.+Caruso</t>
        </is>
      </c>
      <c r="U53" s="5" t="inlineStr">
        <is>
          <t>https://www.imdb.com/find/?q=D.+J.+Caruso&amp;s=nm</t>
        </is>
      </c>
      <c r="AO53" s="19">
        <f>IFERROR(VLOOKUP(AN53,BUDGET_BANDS!$A$2:$C$9,2,FALSE),"")</f>
        <v/>
      </c>
      <c r="AP53" s="19">
        <f>IFERROR(VLOOKUP(AN53,BUDGET_BANDS!$A$2:$C$9,3,FALSE),"")</f>
        <v/>
      </c>
    </row>
    <row r="54">
      <c r="A54" s="5" t="inlineStr">
        <is>
          <t>Damien Chazelle</t>
        </is>
      </c>
      <c r="B54" s="5" t="inlineStr">
        <is>
          <t>T2</t>
        </is>
      </c>
      <c r="C54" s="5" t="inlineStr">
        <is>
          <t>Rebuild/next swing</t>
        </is>
      </c>
      <c r="D54" s="5" t="inlineStr"/>
      <c r="E54" s="5" t="inlineStr">
        <is>
          <t>Music/artist drama</t>
        </is>
      </c>
      <c r="F54" s="5" t="inlineStr">
        <is>
          <t>Period, thriller</t>
        </is>
      </c>
      <c r="G54" s="5" t="inlineStr">
        <is>
          <t>$20M–$80M</t>
        </is>
      </c>
      <c r="H54" s="5" t="inlineStr">
        <is>
          <t>Kinetic, romantic, big setpieces</t>
        </is>
      </c>
      <c r="I54" s="5" t="inlineStr">
        <is>
          <t>Babylon (2022); First Man (2018); La La Land (2016)</t>
        </is>
      </c>
      <c r="J54" s="5" t="inlineStr">
        <is>
          <t>Babylon</t>
        </is>
      </c>
      <c r="K54" s="5" t="n">
        <v>2022</v>
      </c>
      <c r="L54" s="5" t="inlineStr">
        <is>
          <t>Theatrical</t>
        </is>
      </c>
      <c r="M54" s="5" t="inlineStr">
        <is>
          <t>Untitled prison drama (Craig/Murphy/Williams)</t>
        </is>
      </c>
      <c r="N54" s="5" t="inlineStr">
        <is>
          <t>In development (cast announced)</t>
        </is>
      </c>
      <c r="O54" s="5" t="n">
        <v>4</v>
      </c>
      <c r="P54" s="5" t="inlineStr">
        <is>
          <t>Talent magnet; recent box-office miss makes lane/scale choice important.</t>
        </is>
      </c>
      <c r="Q54" s="5" t="inlineStr">
        <is>
          <t>Ambitious setpieces can drive cost.</t>
        </is>
      </c>
      <c r="R54" s="5" t="inlineStr">
        <is>
          <t>In TOP sheet</t>
        </is>
      </c>
      <c r="S54" s="5" t="inlineStr">
        <is>
          <t>2026-01-29</t>
        </is>
      </c>
      <c r="T54" s="5" t="inlineStr">
        <is>
          <t>https://en.wikipedia.org/w/index.php?search=Damien+Chazelle</t>
        </is>
      </c>
      <c r="U54" s="5" t="inlineStr">
        <is>
          <t>https://www.imdb.com/find/?q=Damien+Chazelle&amp;s=nm</t>
        </is>
      </c>
      <c r="AO54" s="19">
        <f>IFERROR(VLOOKUP(AN54,BUDGET_BANDS!$A$2:$C$9,2,FALSE),"")</f>
        <v/>
      </c>
      <c r="AP54" s="19">
        <f>IFERROR(VLOOKUP(AN54,BUDGET_BANDS!$A$2:$C$9,3,FALSE),"")</f>
        <v/>
      </c>
    </row>
    <row r="55">
      <c r="A55" s="5" t="inlineStr">
        <is>
          <t>Dan Gilroy</t>
        </is>
      </c>
      <c r="B55" s="5" t="inlineStr">
        <is>
          <t>T2</t>
        </is>
      </c>
      <c r="C55" s="5" t="inlineStr">
        <is>
          <t>Established</t>
        </is>
      </c>
      <c r="D55" s="5" t="inlineStr">
        <is>
          <t>US/Intl</t>
        </is>
      </c>
      <c r="E55" s="5" t="inlineStr">
        <is>
          <t>Action</t>
        </is>
      </c>
      <c r="F55" s="5" t="inlineStr">
        <is>
          <t>Thriller/Mystery,Crime/Heist</t>
        </is>
      </c>
      <c r="G55" s="5" t="inlineStr">
        <is>
          <t>Studio/Mid</t>
        </is>
      </c>
      <c r="H55" s="5" t="inlineStr">
        <is>
          <t>propulsive, commercial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>
        <is>
          <t>Seeded</t>
        </is>
      </c>
      <c r="S55" s="5" t="inlineStr">
        <is>
          <t>2026-01-29</t>
        </is>
      </c>
      <c r="T55" s="5" t="inlineStr">
        <is>
          <t>https://en.wikipedia.org/w/index.php?search=Dan+Gilroy</t>
        </is>
      </c>
      <c r="U55" s="5" t="inlineStr">
        <is>
          <t>https://www.imdb.com/find/?q=Dan+Gilroy&amp;s=nm</t>
        </is>
      </c>
      <c r="AO55" s="19">
        <f>IFERROR(VLOOKUP(AN55,BUDGET_BANDS!$A$2:$C$9,2,FALSE),"")</f>
        <v/>
      </c>
      <c r="AP55" s="19">
        <f>IFERROR(VLOOKUP(AN55,BUDGET_BANDS!$A$2:$C$9,3,FALSE),"")</f>
        <v/>
      </c>
    </row>
    <row r="56">
      <c r="A56" s="5" t="inlineStr">
        <is>
          <t>David Ayer</t>
        </is>
      </c>
      <c r="B56" s="5" t="inlineStr">
        <is>
          <t>T2</t>
        </is>
      </c>
      <c r="C56" s="5" t="inlineStr">
        <is>
          <t>Established</t>
        </is>
      </c>
      <c r="D56" s="5" t="inlineStr">
        <is>
          <t>US/Intl</t>
        </is>
      </c>
      <c r="E56" s="5" t="inlineStr">
        <is>
          <t>Action</t>
        </is>
      </c>
      <c r="F56" s="5" t="inlineStr">
        <is>
          <t>Thriller/Mystery,Crime/Heist</t>
        </is>
      </c>
      <c r="G56" s="5" t="inlineStr">
        <is>
          <t>Studio/Mid</t>
        </is>
      </c>
      <c r="H56" s="5" t="inlineStr">
        <is>
          <t>propulsive, commercial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>
        <is>
          <t>Seeded</t>
        </is>
      </c>
      <c r="S56" s="5" t="inlineStr">
        <is>
          <t>2026-01-29</t>
        </is>
      </c>
      <c r="T56" s="5" t="inlineStr">
        <is>
          <t>https://en.wikipedia.org/w/index.php?search=David+Ayer</t>
        </is>
      </c>
      <c r="U56" s="5" t="inlineStr">
        <is>
          <t>https://www.imdb.com/find/?q=David+Ayer&amp;s=nm</t>
        </is>
      </c>
      <c r="AO56" s="19">
        <f>IFERROR(VLOOKUP(AN56,BUDGET_BANDS!$A$2:$C$9,2,FALSE),"")</f>
        <v/>
      </c>
      <c r="AP56" s="19">
        <f>IFERROR(VLOOKUP(AN56,BUDGET_BANDS!$A$2:$C$9,3,FALSE),"")</f>
        <v/>
      </c>
    </row>
    <row r="57">
      <c r="A57" s="5" t="inlineStr">
        <is>
          <t>David Dobkin</t>
        </is>
      </c>
      <c r="B57" s="5" t="inlineStr">
        <is>
          <t>T2</t>
        </is>
      </c>
      <c r="C57" s="5" t="inlineStr">
        <is>
          <t>Established</t>
        </is>
      </c>
      <c r="D57" s="5" t="inlineStr">
        <is>
          <t>US/UK</t>
        </is>
      </c>
      <c r="E57" s="5" t="inlineStr">
        <is>
          <t>Comedy</t>
        </is>
      </c>
      <c r="F57" s="5" t="inlineStr">
        <is>
          <t>Action-comedy,Drama</t>
        </is>
      </c>
      <c r="G57" s="5" t="inlineStr">
        <is>
          <t>Mid/Studio</t>
        </is>
      </c>
      <c r="H57" s="5" t="inlineStr">
        <is>
          <t>comedic, commercial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>
        <is>
          <t>Seeded</t>
        </is>
      </c>
      <c r="S57" s="5" t="inlineStr">
        <is>
          <t>2026-01-29</t>
        </is>
      </c>
      <c r="T57" s="5" t="inlineStr">
        <is>
          <t>https://en.wikipedia.org/w/index.php?search=David+Dobkin</t>
        </is>
      </c>
      <c r="U57" s="5" t="inlineStr">
        <is>
          <t>https://www.imdb.com/find/?q=David+Dobkin&amp;s=nm</t>
        </is>
      </c>
      <c r="AO57" s="19">
        <f>IFERROR(VLOOKUP(AN57,BUDGET_BANDS!$A$2:$C$9,2,FALSE),"")</f>
        <v/>
      </c>
      <c r="AP57" s="19">
        <f>IFERROR(VLOOKUP(AN57,BUDGET_BANDS!$A$2:$C$9,3,FALSE),"")</f>
        <v/>
      </c>
    </row>
    <row r="58">
      <c r="A58" s="5" t="inlineStr">
        <is>
          <t>David F. Sandberg</t>
        </is>
      </c>
      <c r="B58" s="5" t="inlineStr">
        <is>
          <t>T2</t>
        </is>
      </c>
      <c r="C58" s="5" t="inlineStr">
        <is>
          <t>Established</t>
        </is>
      </c>
      <c r="D58" s="5" t="inlineStr">
        <is>
          <t>US/Intl</t>
        </is>
      </c>
      <c r="E58" s="5" t="inlineStr">
        <is>
          <t>Horror</t>
        </is>
      </c>
      <c r="F58" s="5" t="inlineStr">
        <is>
          <t>Thriller/Mystery</t>
        </is>
      </c>
      <c r="G58" s="5" t="inlineStr">
        <is>
          <t>Low/Mid/Studio</t>
        </is>
      </c>
      <c r="H58" s="5" t="inlineStr">
        <is>
          <t>tense, atmospheric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>
        <is>
          <t>Seeded</t>
        </is>
      </c>
      <c r="S58" s="5" t="inlineStr">
        <is>
          <t>2026-01-29</t>
        </is>
      </c>
      <c r="T58" s="5" t="inlineStr">
        <is>
          <t>https://en.wikipedia.org/w/index.php?search=David+F.+Sandberg</t>
        </is>
      </c>
      <c r="U58" s="5" t="inlineStr">
        <is>
          <t>https://www.imdb.com/find/?q=David+F.+Sandberg&amp;s=nm</t>
        </is>
      </c>
      <c r="AO58" s="19">
        <f>IFERROR(VLOOKUP(AN58,BUDGET_BANDS!$A$2:$C$9,2,FALSE),"")</f>
        <v/>
      </c>
      <c r="AP58" s="19">
        <f>IFERROR(VLOOKUP(AN58,BUDGET_BANDS!$A$2:$C$9,3,FALSE),"")</f>
        <v/>
      </c>
    </row>
    <row r="59">
      <c r="A59" s="5" t="inlineStr">
        <is>
          <t>David Frankel</t>
        </is>
      </c>
      <c r="B59" s="5" t="inlineStr">
        <is>
          <t>T2</t>
        </is>
      </c>
      <c r="C59" s="5" t="inlineStr">
        <is>
          <t>Established</t>
        </is>
      </c>
      <c r="D59" s="5" t="inlineStr">
        <is>
          <t>US/Intl</t>
        </is>
      </c>
      <c r="E59" s="5" t="inlineStr">
        <is>
          <t>Prestige drama</t>
        </is>
      </c>
      <c r="F59" s="5" t="inlineStr">
        <is>
          <t>Drama,Biopic,Historical/Epic</t>
        </is>
      </c>
      <c r="G59" s="5" t="inlineStr">
        <is>
          <t>Mid/Studio</t>
        </is>
      </c>
      <c r="H59" s="5" t="inlineStr">
        <is>
          <t>character-forward, cinematic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>
        <is>
          <t>Seeded</t>
        </is>
      </c>
      <c r="S59" s="5" t="inlineStr">
        <is>
          <t>2026-01-29</t>
        </is>
      </c>
      <c r="T59" s="5" t="inlineStr">
        <is>
          <t>https://en.wikipedia.org/w/index.php?search=David+Frankel</t>
        </is>
      </c>
      <c r="U59" s="5" t="inlineStr">
        <is>
          <t>https://www.imdb.com/find/?q=David+Frankel&amp;s=nm</t>
        </is>
      </c>
      <c r="AO59" s="19">
        <f>IFERROR(VLOOKUP(AN59,BUDGET_BANDS!$A$2:$C$9,2,FALSE),"")</f>
        <v/>
      </c>
      <c r="AP59" s="19">
        <f>IFERROR(VLOOKUP(AN59,BUDGET_BANDS!$A$2:$C$9,3,FALSE),"")</f>
        <v/>
      </c>
    </row>
    <row r="60">
      <c r="A60" s="5" t="inlineStr">
        <is>
          <t>David Lowery</t>
        </is>
      </c>
      <c r="B60" s="5" t="inlineStr">
        <is>
          <t>T2</t>
        </is>
      </c>
      <c r="C60" s="5" t="inlineStr">
        <is>
          <t>Established</t>
        </is>
      </c>
      <c r="D60" s="5" t="inlineStr">
        <is>
          <t>US/Intl</t>
        </is>
      </c>
      <c r="E60" s="5" t="inlineStr">
        <is>
          <t>Family</t>
        </is>
      </c>
      <c r="F60" s="5" t="inlineStr">
        <is>
          <t>Fantasy,Adventure,Animation</t>
        </is>
      </c>
      <c r="G60" s="5" t="inlineStr">
        <is>
          <t>Studio/Tentpole</t>
        </is>
      </c>
      <c r="H60" s="5" t="inlineStr">
        <is>
          <t>accessible, emotional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>
        <is>
          <t>Seeded</t>
        </is>
      </c>
      <c r="S60" s="5" t="inlineStr">
        <is>
          <t>2026-01-29</t>
        </is>
      </c>
      <c r="T60" s="5" t="inlineStr">
        <is>
          <t>https://en.wikipedia.org/w/index.php?search=David+Lowery</t>
        </is>
      </c>
      <c r="U60" s="5" t="inlineStr">
        <is>
          <t>https://www.imdb.com/find/?q=David+Lowery&amp;s=nm</t>
        </is>
      </c>
      <c r="AO60" s="19">
        <f>IFERROR(VLOOKUP(AN60,BUDGET_BANDS!$A$2:$C$9,2,FALSE),"")</f>
        <v/>
      </c>
      <c r="AP60" s="19">
        <f>IFERROR(VLOOKUP(AN60,BUDGET_BANDS!$A$2:$C$9,3,FALSE),"")</f>
        <v/>
      </c>
    </row>
    <row r="61">
      <c r="A61" s="5" t="inlineStr">
        <is>
          <t>David Mackenzie</t>
        </is>
      </c>
      <c r="B61" s="5" t="inlineStr">
        <is>
          <t>T2</t>
        </is>
      </c>
      <c r="C61" s="5" t="inlineStr">
        <is>
          <t>Established</t>
        </is>
      </c>
      <c r="D61" s="5" t="inlineStr">
        <is>
          <t>US/Intl</t>
        </is>
      </c>
      <c r="E61" s="5" t="inlineStr">
        <is>
          <t>Action</t>
        </is>
      </c>
      <c r="F61" s="5" t="inlineStr">
        <is>
          <t>Thriller/Mystery,Crime/Heist</t>
        </is>
      </c>
      <c r="G61" s="5" t="inlineStr">
        <is>
          <t>Studio/Mid</t>
        </is>
      </c>
      <c r="H61" s="5" t="inlineStr">
        <is>
          <t>propulsive, commercial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>
        <is>
          <t>Seeded</t>
        </is>
      </c>
      <c r="S61" s="5" t="inlineStr">
        <is>
          <t>2026-01-29</t>
        </is>
      </c>
      <c r="T61" s="5" t="inlineStr">
        <is>
          <t>https://en.wikipedia.org/w/index.php?search=David+Mackenzie</t>
        </is>
      </c>
      <c r="U61" s="5" t="inlineStr">
        <is>
          <t>https://www.imdb.com/find/?q=David+Mackenzie&amp;s=nm</t>
        </is>
      </c>
      <c r="AO61" s="19">
        <f>IFERROR(VLOOKUP(AN61,BUDGET_BANDS!$A$2:$C$9,2,FALSE),"")</f>
        <v/>
      </c>
      <c r="AP61" s="19">
        <f>IFERROR(VLOOKUP(AN61,BUDGET_BANDS!$A$2:$C$9,3,FALSE),"")</f>
        <v/>
      </c>
    </row>
    <row r="62">
      <c r="A62" s="5" t="inlineStr">
        <is>
          <t>David Yates</t>
        </is>
      </c>
      <c r="B62" s="5" t="inlineStr">
        <is>
          <t>T2</t>
        </is>
      </c>
      <c r="C62" s="5" t="inlineStr">
        <is>
          <t>Established</t>
        </is>
      </c>
      <c r="D62" s="5" t="inlineStr">
        <is>
          <t>US/Intl</t>
        </is>
      </c>
      <c r="E62" s="5" t="inlineStr">
        <is>
          <t>Action</t>
        </is>
      </c>
      <c r="F62" s="5" t="inlineStr">
        <is>
          <t>Thriller/Mystery,Crime/Heist</t>
        </is>
      </c>
      <c r="G62" s="5" t="inlineStr">
        <is>
          <t>Studio/Mid</t>
        </is>
      </c>
      <c r="H62" s="5" t="inlineStr">
        <is>
          <t>propulsive, commercial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>
        <is>
          <t>Seeded</t>
        </is>
      </c>
      <c r="S62" s="5" t="inlineStr">
        <is>
          <t>2026-01-29</t>
        </is>
      </c>
      <c r="T62" s="5" t="inlineStr">
        <is>
          <t>https://en.wikipedia.org/w/index.php?search=David+Yates</t>
        </is>
      </c>
      <c r="U62" s="5" t="inlineStr">
        <is>
          <t>https://www.imdb.com/find/?q=David+Yates&amp;s=nm</t>
        </is>
      </c>
      <c r="AO62" s="19">
        <f>IFERROR(VLOOKUP(AN62,BUDGET_BANDS!$A$2:$C$9,2,FALSE),"")</f>
        <v/>
      </c>
      <c r="AP62" s="19">
        <f>IFERROR(VLOOKUP(AN62,BUDGET_BANDS!$A$2:$C$9,3,FALSE),"")</f>
        <v/>
      </c>
    </row>
    <row r="63">
      <c r="A63" s="5" t="inlineStr">
        <is>
          <t>Dean DeBlois</t>
        </is>
      </c>
      <c r="B63" s="5" t="inlineStr">
        <is>
          <t>T2</t>
        </is>
      </c>
      <c r="C63" s="5" t="inlineStr">
        <is>
          <t>Established</t>
        </is>
      </c>
      <c r="D63" s="5" t="inlineStr">
        <is>
          <t>US/Intl</t>
        </is>
      </c>
      <c r="E63" s="5" t="inlineStr">
        <is>
          <t>Animation</t>
        </is>
      </c>
      <c r="F63" s="5" t="inlineStr">
        <is>
          <t>Family,Fantasy</t>
        </is>
      </c>
      <c r="G63" s="5" t="inlineStr">
        <is>
          <t>Studio</t>
        </is>
      </c>
      <c r="H63" s="5" t="inlineStr">
        <is>
          <t>animated, family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>
        <is>
          <t>Seeded</t>
        </is>
      </c>
      <c r="S63" s="5" t="inlineStr">
        <is>
          <t>2026-01-29</t>
        </is>
      </c>
      <c r="T63" s="5" t="inlineStr">
        <is>
          <t>https://en.wikipedia.org/w/index.php?search=Dean+DeBlois</t>
        </is>
      </c>
      <c r="U63" s="5" t="inlineStr">
        <is>
          <t>https://www.imdb.com/find/?q=Dean+DeBlois&amp;s=nm</t>
        </is>
      </c>
      <c r="AO63" s="19">
        <f>IFERROR(VLOOKUP(AN63,BUDGET_BANDS!$A$2:$C$9,2,FALSE),"")</f>
        <v/>
      </c>
      <c r="AP63" s="19">
        <f>IFERROR(VLOOKUP(AN63,BUDGET_BANDS!$A$2:$C$9,3,FALSE),"")</f>
        <v/>
      </c>
    </row>
    <row r="64">
      <c r="A64" s="5" t="inlineStr">
        <is>
          <t>Dee Rees</t>
        </is>
      </c>
      <c r="B64" s="5" t="inlineStr">
        <is>
          <t>T2</t>
        </is>
      </c>
      <c r="C64" s="5" t="inlineStr">
        <is>
          <t>Established</t>
        </is>
      </c>
      <c r="D64" s="5" t="inlineStr">
        <is>
          <t>US/Intl</t>
        </is>
      </c>
      <c r="E64" s="5" t="inlineStr">
        <is>
          <t>Prestige drama</t>
        </is>
      </c>
      <c r="F64" s="5" t="inlineStr">
        <is>
          <t>Drama,Biopic,Historical/Epic</t>
        </is>
      </c>
      <c r="G64" s="5" t="inlineStr">
        <is>
          <t>Mid/Studio</t>
        </is>
      </c>
      <c r="H64" s="5" t="inlineStr">
        <is>
          <t>character-forward, cinematic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>
        <is>
          <t>Seeded</t>
        </is>
      </c>
      <c r="S64" s="5" t="inlineStr">
        <is>
          <t>2026-01-29</t>
        </is>
      </c>
      <c r="T64" s="5" t="inlineStr">
        <is>
          <t>https://en.wikipedia.org/w/index.php?search=Dee+Rees</t>
        </is>
      </c>
      <c r="U64" s="5" t="inlineStr">
        <is>
          <t>https://www.imdb.com/find/?q=Dee+Rees&amp;s=nm</t>
        </is>
      </c>
      <c r="AO64" s="19">
        <f>IFERROR(VLOOKUP(AN64,BUDGET_BANDS!$A$2:$C$9,2,FALSE),"")</f>
        <v/>
      </c>
      <c r="AP64" s="19">
        <f>IFERROR(VLOOKUP(AN64,BUDGET_BANDS!$A$2:$C$9,3,FALSE),"")</f>
        <v/>
      </c>
    </row>
    <row r="65">
      <c r="A65" s="5" t="inlineStr">
        <is>
          <t>Destin Daniel Cretton</t>
        </is>
      </c>
      <c r="B65" s="5" t="inlineStr">
        <is>
          <t>T2</t>
        </is>
      </c>
      <c r="C65" s="5" t="inlineStr">
        <is>
          <t>Established</t>
        </is>
      </c>
      <c r="D65" s="5" t="inlineStr">
        <is>
          <t>US/Intl</t>
        </is>
      </c>
      <c r="E65" s="5" t="inlineStr">
        <is>
          <t>Prestige drama</t>
        </is>
      </c>
      <c r="F65" s="5" t="inlineStr">
        <is>
          <t>Drama,Biopic,Historical/Epic</t>
        </is>
      </c>
      <c r="G65" s="5" t="inlineStr">
        <is>
          <t>Mid/Studio</t>
        </is>
      </c>
      <c r="H65" s="5" t="inlineStr">
        <is>
          <t>character-forward, cinematic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>
        <is>
          <t>Seeded</t>
        </is>
      </c>
      <c r="S65" s="5" t="inlineStr">
        <is>
          <t>2026-01-29</t>
        </is>
      </c>
      <c r="T65" s="5" t="inlineStr">
        <is>
          <t>https://en.wikipedia.org/w/index.php?search=Destin+Daniel+Cretton</t>
        </is>
      </c>
      <c r="U65" s="5" t="inlineStr">
        <is>
          <t>https://www.imdb.com/find/?q=Destin+Daniel+Cretton&amp;s=nm</t>
        </is>
      </c>
      <c r="AO65" s="19">
        <f>IFERROR(VLOOKUP(AN65,BUDGET_BANDS!$A$2:$C$9,2,FALSE),"")</f>
        <v/>
      </c>
      <c r="AP65" s="19">
        <f>IFERROR(VLOOKUP(AN65,BUDGET_BANDS!$A$2:$C$9,3,FALSE),"")</f>
        <v/>
      </c>
    </row>
    <row r="66">
      <c r="A66" s="5" t="inlineStr">
        <is>
          <t>Don Hall</t>
        </is>
      </c>
      <c r="B66" s="5" t="inlineStr">
        <is>
          <t>T2</t>
        </is>
      </c>
      <c r="C66" s="5" t="inlineStr">
        <is>
          <t>Established</t>
        </is>
      </c>
      <c r="D66" s="5" t="inlineStr">
        <is>
          <t>US/Intl</t>
        </is>
      </c>
      <c r="E66" s="5" t="inlineStr">
        <is>
          <t>Animation</t>
        </is>
      </c>
      <c r="F66" s="5" t="inlineStr">
        <is>
          <t>Family,Fantasy</t>
        </is>
      </c>
      <c r="G66" s="5" t="inlineStr">
        <is>
          <t>Studio</t>
        </is>
      </c>
      <c r="H66" s="5" t="inlineStr">
        <is>
          <t>animated, family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>
        <is>
          <t>Seeded</t>
        </is>
      </c>
      <c r="S66" s="5" t="inlineStr">
        <is>
          <t>2026-01-29</t>
        </is>
      </c>
      <c r="T66" s="5" t="inlineStr">
        <is>
          <t>https://en.wikipedia.org/w/index.php?search=Don+Hall</t>
        </is>
      </c>
      <c r="U66" s="5" t="inlineStr">
        <is>
          <t>https://www.imdb.com/find/?q=Don+Hall&amp;s=nm</t>
        </is>
      </c>
      <c r="AO66" s="19">
        <f>IFERROR(VLOOKUP(AN66,BUDGET_BANDS!$A$2:$C$9,2,FALSE),"")</f>
        <v/>
      </c>
      <c r="AP66" s="19">
        <f>IFERROR(VLOOKUP(AN66,BUDGET_BANDS!$A$2:$C$9,3,FALSE),"")</f>
        <v/>
      </c>
    </row>
    <row r="67">
      <c r="A67" s="5" t="inlineStr">
        <is>
          <t>Doug Liman</t>
        </is>
      </c>
      <c r="B67" s="5" t="inlineStr">
        <is>
          <t>T2</t>
        </is>
      </c>
      <c r="C67" s="5" t="inlineStr">
        <is>
          <t>Established</t>
        </is>
      </c>
      <c r="D67" s="5" t="inlineStr">
        <is>
          <t>US/Intl</t>
        </is>
      </c>
      <c r="E67" s="5" t="inlineStr">
        <is>
          <t>Action</t>
        </is>
      </c>
      <c r="F67" s="5" t="inlineStr">
        <is>
          <t>Thriller/Mystery,Crime/Heist</t>
        </is>
      </c>
      <c r="G67" s="5" t="inlineStr">
        <is>
          <t>Studio/Mid</t>
        </is>
      </c>
      <c r="H67" s="5" t="inlineStr">
        <is>
          <t>propulsive, commercial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>
        <is>
          <t>Seeded</t>
        </is>
      </c>
      <c r="S67" s="5" t="inlineStr">
        <is>
          <t>2026-01-29</t>
        </is>
      </c>
      <c r="T67" s="5" t="inlineStr">
        <is>
          <t>https://en.wikipedia.org/w/index.php?search=Doug+Liman</t>
        </is>
      </c>
      <c r="U67" s="5" t="inlineStr">
        <is>
          <t>https://www.imdb.com/find/?q=Doug+Liman&amp;s=nm</t>
        </is>
      </c>
      <c r="AO67" s="19">
        <f>IFERROR(VLOOKUP(AN67,BUDGET_BANDS!$A$2:$C$9,2,FALSE),"")</f>
        <v/>
      </c>
      <c r="AP67" s="19">
        <f>IFERROR(VLOOKUP(AN67,BUDGET_BANDS!$A$2:$C$9,3,FALSE),"")</f>
        <v/>
      </c>
    </row>
    <row r="68">
      <c r="A68" s="5" t="inlineStr">
        <is>
          <t>Duncan Jones</t>
        </is>
      </c>
      <c r="B68" s="5" t="inlineStr">
        <is>
          <t>T2</t>
        </is>
      </c>
      <c r="C68" s="5" t="inlineStr">
        <is>
          <t>Established</t>
        </is>
      </c>
      <c r="D68" s="5" t="inlineStr">
        <is>
          <t>US/Intl</t>
        </is>
      </c>
      <c r="E68" s="5" t="inlineStr">
        <is>
          <t>Sci-fi</t>
        </is>
      </c>
      <c r="F68" s="5" t="inlineStr">
        <is>
          <t>Action,Thriller/Mystery</t>
        </is>
      </c>
      <c r="G68" s="5" t="inlineStr">
        <is>
          <t>Studio/Tentpole</t>
        </is>
      </c>
      <c r="H68" s="5" t="inlineStr">
        <is>
          <t>concept-driven, visual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>
        <is>
          <t>Seeded</t>
        </is>
      </c>
      <c r="S68" s="5" t="inlineStr">
        <is>
          <t>2026-01-29</t>
        </is>
      </c>
      <c r="T68" s="5" t="inlineStr">
        <is>
          <t>https://en.wikipedia.org/w/index.php?search=Duncan+Jones</t>
        </is>
      </c>
      <c r="U68" s="5" t="inlineStr">
        <is>
          <t>https://www.imdb.com/find/?q=Duncan+Jones&amp;s=nm</t>
        </is>
      </c>
      <c r="AO68" s="19">
        <f>IFERROR(VLOOKUP(AN68,BUDGET_BANDS!$A$2:$C$9,2,FALSE),"")</f>
        <v/>
      </c>
      <c r="AP68" s="19">
        <f>IFERROR(VLOOKUP(AN68,BUDGET_BANDS!$A$2:$C$9,3,FALSE),"")</f>
        <v/>
      </c>
    </row>
    <row r="69">
      <c r="A69" s="5" t="inlineStr">
        <is>
          <t>Edgar Wright</t>
        </is>
      </c>
      <c r="B69" s="5" t="inlineStr">
        <is>
          <t>T2</t>
        </is>
      </c>
      <c r="C69" s="5" t="inlineStr">
        <is>
          <t>Established</t>
        </is>
      </c>
      <c r="D69" s="5" t="inlineStr">
        <is>
          <t>US/UK</t>
        </is>
      </c>
      <c r="E69" s="5" t="inlineStr">
        <is>
          <t>Comedy</t>
        </is>
      </c>
      <c r="F69" s="5" t="inlineStr">
        <is>
          <t>Action-comedy,Drama</t>
        </is>
      </c>
      <c r="G69" s="5" t="inlineStr">
        <is>
          <t>Mid/Studio</t>
        </is>
      </c>
      <c r="H69" s="5" t="inlineStr">
        <is>
          <t>comedic, commercial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>
        <is>
          <t>Seeded</t>
        </is>
      </c>
      <c r="S69" s="5" t="inlineStr">
        <is>
          <t>2026-01-29</t>
        </is>
      </c>
      <c r="T69" s="5" t="inlineStr">
        <is>
          <t>https://en.wikipedia.org/w/index.php?search=Edgar+Wright</t>
        </is>
      </c>
      <c r="U69" s="5" t="inlineStr">
        <is>
          <t>https://www.imdb.com/find/?q=Edgar+Wright&amp;s=nm</t>
        </is>
      </c>
      <c r="AO69" s="19">
        <f>IFERROR(VLOOKUP(AN69,BUDGET_BANDS!$A$2:$C$9,2,FALSE),"")</f>
        <v/>
      </c>
      <c r="AP69" s="19">
        <f>IFERROR(VLOOKUP(AN69,BUDGET_BANDS!$A$2:$C$9,3,FALSE),"")</f>
        <v/>
      </c>
    </row>
    <row r="70">
      <c r="A70" s="5" t="inlineStr">
        <is>
          <t>Eli Roth</t>
        </is>
      </c>
      <c r="B70" s="5" t="inlineStr">
        <is>
          <t>T2</t>
        </is>
      </c>
      <c r="C70" s="5" t="inlineStr">
        <is>
          <t>Established</t>
        </is>
      </c>
      <c r="D70" s="5" t="inlineStr">
        <is>
          <t>US/Intl</t>
        </is>
      </c>
      <c r="E70" s="5" t="inlineStr">
        <is>
          <t>Horror</t>
        </is>
      </c>
      <c r="F70" s="5" t="inlineStr">
        <is>
          <t>Thriller/Mystery</t>
        </is>
      </c>
      <c r="G70" s="5" t="inlineStr">
        <is>
          <t>Low/Mid/Studio</t>
        </is>
      </c>
      <c r="H70" s="5" t="inlineStr">
        <is>
          <t>tense, atmospheric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>
        <is>
          <t>Seeded</t>
        </is>
      </c>
      <c r="S70" s="5" t="inlineStr">
        <is>
          <t>2026-01-29</t>
        </is>
      </c>
      <c r="T70" s="5" t="inlineStr">
        <is>
          <t>https://en.wikipedia.org/w/index.php?search=Eli+Roth</t>
        </is>
      </c>
      <c r="U70" s="5" t="inlineStr">
        <is>
          <t>https://www.imdb.com/find/?q=Eli+Roth&amp;s=nm</t>
        </is>
      </c>
      <c r="AO70" s="19">
        <f>IFERROR(VLOOKUP(AN70,BUDGET_BANDS!$A$2:$C$9,2,FALSE),"")</f>
        <v/>
      </c>
      <c r="AP70" s="19">
        <f>IFERROR(VLOOKUP(AN70,BUDGET_BANDS!$A$2:$C$9,3,FALSE),"")</f>
        <v/>
      </c>
    </row>
    <row r="71">
      <c r="A71" s="5" t="inlineStr">
        <is>
          <t>Emerald Fennell</t>
        </is>
      </c>
      <c r="B71" s="5" t="inlineStr">
        <is>
          <t>T2</t>
        </is>
      </c>
      <c r="C71" s="5" t="inlineStr">
        <is>
          <t>Hot</t>
        </is>
      </c>
      <c r="D71" s="5" t="inlineStr"/>
      <c r="E71" s="5" t="inlineStr">
        <is>
          <t>Dark comedy / provocative drama</t>
        </is>
      </c>
      <c r="F71" s="5" t="inlineStr">
        <is>
          <t>Period romance</t>
        </is>
      </c>
      <c r="G71" s="5" t="inlineStr">
        <is>
          <t>$10M–$60M</t>
        </is>
      </c>
      <c r="H71" s="5" t="inlineStr">
        <is>
          <t>Satirical, edgy, stylized</t>
        </is>
      </c>
      <c r="I71" s="5" t="inlineStr">
        <is>
          <t>Saltburn (2023); Promising Young Woman (2020); (shorts/TV prior)</t>
        </is>
      </c>
      <c r="J71" s="5" t="inlineStr">
        <is>
          <t>Saltburn</t>
        </is>
      </c>
      <c r="K71" s="5" t="n">
        <v>2023</v>
      </c>
      <c r="L71" s="5" t="inlineStr">
        <is>
          <t>Streamer + limited theatrical</t>
        </is>
      </c>
      <c r="M71" s="5" t="inlineStr">
        <is>
          <t>Wuthering Heights</t>
        </is>
      </c>
      <c r="N71" s="5" t="inlineStr">
        <is>
          <t>Releasing</t>
        </is>
      </c>
      <c r="O71" s="5" t="n">
        <v>4</v>
      </c>
      <c r="P71" s="5" t="inlineStr">
        <is>
          <t>Tone-specific; can attract buzzy casts.</t>
        </is>
      </c>
      <c r="Q71" s="5" t="inlineStr">
        <is>
          <t>Content can be polarizing; marketing sensitive.</t>
        </is>
      </c>
      <c r="R71" s="5" t="inlineStr">
        <is>
          <t>In TOP sheet</t>
        </is>
      </c>
      <c r="S71" s="5" t="inlineStr">
        <is>
          <t>2026-01-29</t>
        </is>
      </c>
      <c r="T71" s="5" t="inlineStr">
        <is>
          <t>https://en.wikipedia.org/w/index.php?search=Emerald+Fennell</t>
        </is>
      </c>
      <c r="U71" s="5" t="inlineStr">
        <is>
          <t>https://www.imdb.com/find/?q=Emerald+Fennell&amp;s=nm</t>
        </is>
      </c>
      <c r="AO71" s="19">
        <f>IFERROR(VLOOKUP(AN71,BUDGET_BANDS!$A$2:$C$9,2,FALSE),"")</f>
        <v/>
      </c>
      <c r="AP71" s="19">
        <f>IFERROR(VLOOKUP(AN71,BUDGET_BANDS!$A$2:$C$9,3,FALSE),"")</f>
        <v/>
      </c>
    </row>
    <row r="72">
      <c r="A72" s="5" t="inlineStr">
        <is>
          <t>F. Gary Gray</t>
        </is>
      </c>
      <c r="B72" s="5" t="inlineStr">
        <is>
          <t>T2</t>
        </is>
      </c>
      <c r="C72" s="5" t="inlineStr">
        <is>
          <t>Established</t>
        </is>
      </c>
      <c r="D72" s="5" t="inlineStr">
        <is>
          <t>US/Intl</t>
        </is>
      </c>
      <c r="E72" s="5" t="inlineStr">
        <is>
          <t>Action</t>
        </is>
      </c>
      <c r="F72" s="5" t="inlineStr">
        <is>
          <t>Thriller/Mystery,Crime/Heist</t>
        </is>
      </c>
      <c r="G72" s="5" t="inlineStr">
        <is>
          <t>Studio/Mid</t>
        </is>
      </c>
      <c r="H72" s="5" t="inlineStr">
        <is>
          <t>propulsive, commercial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>
        <is>
          <t>Seeded</t>
        </is>
      </c>
      <c r="S72" s="5" t="inlineStr">
        <is>
          <t>2026-01-29</t>
        </is>
      </c>
      <c r="T72" s="5" t="inlineStr">
        <is>
          <t>https://en.wikipedia.org/w/index.php?search=F.+Gary+Gray</t>
        </is>
      </c>
      <c r="U72" s="5" t="inlineStr">
        <is>
          <t>https://www.imdb.com/find/?q=F.+Gary+Gray&amp;s=nm</t>
        </is>
      </c>
      <c r="AO72" s="19">
        <f>IFERROR(VLOOKUP(AN72,BUDGET_BANDS!$A$2:$C$9,2,FALSE),"")</f>
        <v/>
      </c>
      <c r="AP72" s="19">
        <f>IFERROR(VLOOKUP(AN72,BUDGET_BANDS!$A$2:$C$9,3,FALSE),"")</f>
        <v/>
      </c>
    </row>
    <row r="73">
      <c r="A73" s="5" t="inlineStr">
        <is>
          <t>Fede Álvarez</t>
        </is>
      </c>
      <c r="B73" s="5" t="inlineStr">
        <is>
          <t>T2</t>
        </is>
      </c>
      <c r="C73" s="5" t="inlineStr">
        <is>
          <t>Established</t>
        </is>
      </c>
      <c r="D73" s="5" t="inlineStr">
        <is>
          <t>US/Intl</t>
        </is>
      </c>
      <c r="E73" s="5" t="inlineStr">
        <is>
          <t>Horror</t>
        </is>
      </c>
      <c r="F73" s="5" t="inlineStr">
        <is>
          <t>Thriller/Mystery</t>
        </is>
      </c>
      <c r="G73" s="5" t="inlineStr">
        <is>
          <t>Low/Mid/Studio</t>
        </is>
      </c>
      <c r="H73" s="5" t="inlineStr">
        <is>
          <t>tense, atmospheric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>
        <is>
          <t>Seeded</t>
        </is>
      </c>
      <c r="S73" s="5" t="inlineStr">
        <is>
          <t>2026-01-29</t>
        </is>
      </c>
      <c r="T73" s="5" t="inlineStr">
        <is>
          <t>https://en.wikipedia.org/w/index.php?search=Fede+%C3%81lvarez</t>
        </is>
      </c>
      <c r="U73" s="5" t="inlineStr">
        <is>
          <t>https://www.imdb.com/find/?q=Fede+%C3%81lvarez&amp;s=nm</t>
        </is>
      </c>
      <c r="AO73" s="19">
        <f>IFERROR(VLOOKUP(AN73,BUDGET_BANDS!$A$2:$C$9,2,FALSE),"")</f>
        <v/>
      </c>
      <c r="AP73" s="19">
        <f>IFERROR(VLOOKUP(AN73,BUDGET_BANDS!$A$2:$C$9,3,FALSE),"")</f>
        <v/>
      </c>
    </row>
    <row r="74">
      <c r="A74" s="5" t="inlineStr">
        <is>
          <t>Fernando Meirelles</t>
        </is>
      </c>
      <c r="B74" s="5" t="inlineStr">
        <is>
          <t>T2</t>
        </is>
      </c>
      <c r="C74" s="5" t="inlineStr">
        <is>
          <t>Established</t>
        </is>
      </c>
      <c r="D74" s="5" t="inlineStr">
        <is>
          <t>US/Intl</t>
        </is>
      </c>
      <c r="E74" s="5" t="inlineStr">
        <is>
          <t>Prestige drama</t>
        </is>
      </c>
      <c r="F74" s="5" t="inlineStr">
        <is>
          <t>Drama,Biopic,Historical/Epic</t>
        </is>
      </c>
      <c r="G74" s="5" t="inlineStr">
        <is>
          <t>Mid/Studio</t>
        </is>
      </c>
      <c r="H74" s="5" t="inlineStr">
        <is>
          <t>character-forward, cinematic</t>
        </is>
      </c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>
        <is>
          <t>Seeded</t>
        </is>
      </c>
      <c r="S74" s="5" t="inlineStr">
        <is>
          <t>2026-01-29</t>
        </is>
      </c>
      <c r="T74" s="5" t="inlineStr">
        <is>
          <t>https://en.wikipedia.org/w/index.php?search=Fernando+Meirelles</t>
        </is>
      </c>
      <c r="U74" s="5" t="inlineStr">
        <is>
          <t>https://www.imdb.com/find/?q=Fernando+Meirelles&amp;s=nm</t>
        </is>
      </c>
      <c r="AO74" s="19">
        <f>IFERROR(VLOOKUP(AN74,BUDGET_BANDS!$A$2:$C$9,2,FALSE),"")</f>
        <v/>
      </c>
      <c r="AP74" s="19">
        <f>IFERROR(VLOOKUP(AN74,BUDGET_BANDS!$A$2:$C$9,3,FALSE),"")</f>
        <v/>
      </c>
    </row>
    <row r="75">
      <c r="A75" s="5" t="inlineStr">
        <is>
          <t>Francis Lawrence</t>
        </is>
      </c>
      <c r="B75" s="5" t="inlineStr">
        <is>
          <t>T2</t>
        </is>
      </c>
      <c r="C75" s="5" t="inlineStr">
        <is>
          <t>Established</t>
        </is>
      </c>
      <c r="D75" s="5" t="inlineStr">
        <is>
          <t>US/Intl</t>
        </is>
      </c>
      <c r="E75" s="5" t="inlineStr">
        <is>
          <t>Action</t>
        </is>
      </c>
      <c r="F75" s="5" t="inlineStr">
        <is>
          <t>Thriller/Mystery,Crime/Heist</t>
        </is>
      </c>
      <c r="G75" s="5" t="inlineStr">
        <is>
          <t>Studio/Mid</t>
        </is>
      </c>
      <c r="H75" s="5" t="inlineStr">
        <is>
          <t>propulsive, commercial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>
        <is>
          <t>Seeded</t>
        </is>
      </c>
      <c r="S75" s="5" t="inlineStr">
        <is>
          <t>2026-01-29</t>
        </is>
      </c>
      <c r="T75" s="5" t="inlineStr">
        <is>
          <t>https://en.wikipedia.org/w/index.php?search=Francis+Lawrence</t>
        </is>
      </c>
      <c r="U75" s="5" t="inlineStr">
        <is>
          <t>https://www.imdb.com/find/?q=Francis+Lawrence&amp;s=nm</t>
        </is>
      </c>
      <c r="AO75" s="19">
        <f>IFERROR(VLOOKUP(AN75,BUDGET_BANDS!$A$2:$C$9,2,FALSE),"")</f>
        <v/>
      </c>
      <c r="AP75" s="19">
        <f>IFERROR(VLOOKUP(AN75,BUDGET_BANDS!$A$2:$C$9,3,FALSE),"")</f>
        <v/>
      </c>
    </row>
    <row r="76">
      <c r="A76" s="5" t="inlineStr">
        <is>
          <t>Gareth Edwards</t>
        </is>
      </c>
      <c r="B76" s="5" t="inlineStr">
        <is>
          <t>T2</t>
        </is>
      </c>
      <c r="C76" s="5" t="inlineStr">
        <is>
          <t>Established</t>
        </is>
      </c>
      <c r="D76" s="5" t="inlineStr">
        <is>
          <t>US/Intl</t>
        </is>
      </c>
      <c r="E76" s="5" t="inlineStr">
        <is>
          <t>Sci-fi</t>
        </is>
      </c>
      <c r="F76" s="5" t="inlineStr">
        <is>
          <t>Action,Thriller/Mystery</t>
        </is>
      </c>
      <c r="G76" s="5" t="inlineStr">
        <is>
          <t>Studio/Tentpole</t>
        </is>
      </c>
      <c r="H76" s="5" t="inlineStr">
        <is>
          <t>concept-driven, visual</t>
        </is>
      </c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>
        <is>
          <t>Seeded</t>
        </is>
      </c>
      <c r="S76" s="5" t="inlineStr">
        <is>
          <t>2026-01-29</t>
        </is>
      </c>
      <c r="T76" s="5" t="inlineStr">
        <is>
          <t>https://en.wikipedia.org/w/index.php?search=Gareth+Edwards</t>
        </is>
      </c>
      <c r="U76" s="5" t="inlineStr">
        <is>
          <t>https://www.imdb.com/find/?q=Gareth+Edwards&amp;s=nm</t>
        </is>
      </c>
      <c r="AO76" s="19">
        <f>IFERROR(VLOOKUP(AN76,BUDGET_BANDS!$A$2:$C$9,2,FALSE),"")</f>
        <v/>
      </c>
      <c r="AP76" s="19">
        <f>IFERROR(VLOOKUP(AN76,BUDGET_BANDS!$A$2:$C$9,3,FALSE),"")</f>
        <v/>
      </c>
    </row>
    <row r="77">
      <c r="A77" s="5" t="inlineStr">
        <is>
          <t>Gareth Evans</t>
        </is>
      </c>
      <c r="B77" s="5" t="inlineStr">
        <is>
          <t>T2</t>
        </is>
      </c>
      <c r="C77" s="5" t="inlineStr">
        <is>
          <t>Established</t>
        </is>
      </c>
      <c r="D77" s="5" t="inlineStr">
        <is>
          <t>US/Intl</t>
        </is>
      </c>
      <c r="E77" s="5" t="inlineStr">
        <is>
          <t>Action</t>
        </is>
      </c>
      <c r="F77" s="5" t="inlineStr">
        <is>
          <t>Thriller/Mystery,Crime/Heist</t>
        </is>
      </c>
      <c r="G77" s="5" t="inlineStr">
        <is>
          <t>Studio/Mid</t>
        </is>
      </c>
      <c r="H77" s="5" t="inlineStr">
        <is>
          <t>propulsive, commercial</t>
        </is>
      </c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>
        <is>
          <t>Seeded</t>
        </is>
      </c>
      <c r="S77" s="5" t="inlineStr">
        <is>
          <t>2026-01-29</t>
        </is>
      </c>
      <c r="T77" s="5" t="inlineStr">
        <is>
          <t>https://en.wikipedia.org/w/index.php?search=Gareth+Evans</t>
        </is>
      </c>
      <c r="U77" s="5" t="inlineStr">
        <is>
          <t>https://www.imdb.com/find/?q=Gareth+Evans&amp;s=nm</t>
        </is>
      </c>
      <c r="AO77" s="19">
        <f>IFERROR(VLOOKUP(AN77,BUDGET_BANDS!$A$2:$C$9,2,FALSE),"")</f>
        <v/>
      </c>
      <c r="AP77" s="19">
        <f>IFERROR(VLOOKUP(AN77,BUDGET_BANDS!$A$2:$C$9,3,FALSE),"")</f>
        <v/>
      </c>
    </row>
    <row r="78">
      <c r="A78" s="5" t="inlineStr">
        <is>
          <t>Garth Jennings</t>
        </is>
      </c>
      <c r="B78" s="5" t="inlineStr">
        <is>
          <t>T2</t>
        </is>
      </c>
      <c r="C78" s="5" t="inlineStr">
        <is>
          <t>Established</t>
        </is>
      </c>
      <c r="D78" s="5" t="inlineStr">
        <is>
          <t>US/Intl</t>
        </is>
      </c>
      <c r="E78" s="5" t="inlineStr">
        <is>
          <t>Animation</t>
        </is>
      </c>
      <c r="F78" s="5" t="inlineStr">
        <is>
          <t>Family,Fantasy</t>
        </is>
      </c>
      <c r="G78" s="5" t="inlineStr">
        <is>
          <t>Studio</t>
        </is>
      </c>
      <c r="H78" s="5" t="inlineStr">
        <is>
          <t>animated, family</t>
        </is>
      </c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>
        <is>
          <t>Seeded</t>
        </is>
      </c>
      <c r="S78" s="5" t="inlineStr">
        <is>
          <t>2026-01-29</t>
        </is>
      </c>
      <c r="T78" s="5" t="inlineStr">
        <is>
          <t>https://en.wikipedia.org/w/index.php?search=Garth+Jennings</t>
        </is>
      </c>
      <c r="U78" s="5" t="inlineStr">
        <is>
          <t>https://www.imdb.com/find/?q=Garth+Jennings&amp;s=nm</t>
        </is>
      </c>
      <c r="AO78" s="19">
        <f>IFERROR(VLOOKUP(AN78,BUDGET_BANDS!$A$2:$C$9,2,FALSE),"")</f>
        <v/>
      </c>
      <c r="AP78" s="19">
        <f>IFERROR(VLOOKUP(AN78,BUDGET_BANDS!$A$2:$C$9,3,FALSE),"")</f>
        <v/>
      </c>
    </row>
    <row r="79">
      <c r="A79" s="5" t="inlineStr">
        <is>
          <t>Gavin Hood</t>
        </is>
      </c>
      <c r="B79" s="5" t="inlineStr">
        <is>
          <t>T2</t>
        </is>
      </c>
      <c r="C79" s="5" t="inlineStr">
        <is>
          <t>Established</t>
        </is>
      </c>
      <c r="D79" s="5" t="inlineStr">
        <is>
          <t>US/Intl</t>
        </is>
      </c>
      <c r="E79" s="5" t="inlineStr">
        <is>
          <t>Action</t>
        </is>
      </c>
      <c r="F79" s="5" t="inlineStr">
        <is>
          <t>Thriller/Mystery,Crime/Heist</t>
        </is>
      </c>
      <c r="G79" s="5" t="inlineStr">
        <is>
          <t>Studio/Mid</t>
        </is>
      </c>
      <c r="H79" s="5" t="inlineStr">
        <is>
          <t>propulsive, commercial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>
        <is>
          <t>Seeded</t>
        </is>
      </c>
      <c r="S79" s="5" t="inlineStr">
        <is>
          <t>2026-01-29</t>
        </is>
      </c>
      <c r="T79" s="5" t="inlineStr">
        <is>
          <t>https://en.wikipedia.org/w/index.php?search=Gavin+Hood</t>
        </is>
      </c>
      <c r="U79" s="5" t="inlineStr">
        <is>
          <t>https://www.imdb.com/find/?q=Gavin+Hood&amp;s=nm</t>
        </is>
      </c>
      <c r="AO79" s="19">
        <f>IFERROR(VLOOKUP(AN79,BUDGET_BANDS!$A$2:$C$9,2,FALSE),"")</f>
        <v/>
      </c>
      <c r="AP79" s="19">
        <f>IFERROR(VLOOKUP(AN79,BUDGET_BANDS!$A$2:$C$9,3,FALSE),"")</f>
        <v/>
      </c>
    </row>
    <row r="80">
      <c r="A80" s="5" t="inlineStr">
        <is>
          <t>George Miller</t>
        </is>
      </c>
      <c r="B80" s="5" t="inlineStr">
        <is>
          <t>T2</t>
        </is>
      </c>
      <c r="C80" s="5" t="inlineStr">
        <is>
          <t>Established</t>
        </is>
      </c>
      <c r="D80" s="5" t="inlineStr">
        <is>
          <t>US/Intl</t>
        </is>
      </c>
      <c r="E80" s="5" t="inlineStr">
        <is>
          <t>Family</t>
        </is>
      </c>
      <c r="F80" s="5" t="inlineStr">
        <is>
          <t>Fantasy,Adventure,Animation</t>
        </is>
      </c>
      <c r="G80" s="5" t="inlineStr">
        <is>
          <t>Studio/Tentpole</t>
        </is>
      </c>
      <c r="H80" s="5" t="inlineStr">
        <is>
          <t>accessible, emotional</t>
        </is>
      </c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>
        <is>
          <t>Seeded</t>
        </is>
      </c>
      <c r="S80" s="5" t="inlineStr">
        <is>
          <t>2026-01-29</t>
        </is>
      </c>
      <c r="T80" s="5" t="inlineStr">
        <is>
          <t>https://en.wikipedia.org/w/index.php?search=George+Miller</t>
        </is>
      </c>
      <c r="U80" s="5" t="inlineStr">
        <is>
          <t>https://www.imdb.com/find/?q=George+Miller&amp;s=nm</t>
        </is>
      </c>
      <c r="AO80" s="19">
        <f>IFERROR(VLOOKUP(AN80,BUDGET_BANDS!$A$2:$C$9,2,FALSE),"")</f>
        <v/>
      </c>
      <c r="AP80" s="19">
        <f>IFERROR(VLOOKUP(AN80,BUDGET_BANDS!$A$2:$C$9,3,FALSE),"")</f>
        <v/>
      </c>
    </row>
    <row r="81">
      <c r="A81" s="5" t="inlineStr">
        <is>
          <t>George Tillman Jr.</t>
        </is>
      </c>
      <c r="B81" s="5" t="inlineStr">
        <is>
          <t>T2</t>
        </is>
      </c>
      <c r="C81" s="5" t="inlineStr">
        <is>
          <t>Established</t>
        </is>
      </c>
      <c r="D81" s="5" t="inlineStr">
        <is>
          <t>US/Intl</t>
        </is>
      </c>
      <c r="E81" s="5" t="inlineStr">
        <is>
          <t>Prestige drama</t>
        </is>
      </c>
      <c r="F81" s="5" t="inlineStr">
        <is>
          <t>Drama,Biopic,Historical/Epic</t>
        </is>
      </c>
      <c r="G81" s="5" t="inlineStr">
        <is>
          <t>Mid/Studio</t>
        </is>
      </c>
      <c r="H81" s="5" t="inlineStr">
        <is>
          <t>character-forward, cinematic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>
        <is>
          <t>Seeded</t>
        </is>
      </c>
      <c r="S81" s="5" t="inlineStr">
        <is>
          <t>2026-01-29</t>
        </is>
      </c>
      <c r="T81" s="5" t="inlineStr">
        <is>
          <t>https://en.wikipedia.org/w/index.php?search=George+Tillman+Jr.</t>
        </is>
      </c>
      <c r="U81" s="5" t="inlineStr">
        <is>
          <t>https://www.imdb.com/find/?q=George+Tillman+Jr.&amp;s=nm</t>
        </is>
      </c>
      <c r="AO81" s="19">
        <f>IFERROR(VLOOKUP(AN81,BUDGET_BANDS!$A$2:$C$9,2,FALSE),"")</f>
        <v/>
      </c>
      <c r="AP81" s="19">
        <f>IFERROR(VLOOKUP(AN81,BUDGET_BANDS!$A$2:$C$9,3,FALSE),"")</f>
        <v/>
      </c>
    </row>
    <row r="82">
      <c r="A82" s="5" t="inlineStr">
        <is>
          <t>Gina Prince-Bythewood</t>
        </is>
      </c>
      <c r="B82" s="5" t="inlineStr">
        <is>
          <t>T2</t>
        </is>
      </c>
      <c r="C82" s="5" t="inlineStr">
        <is>
          <t>Established</t>
        </is>
      </c>
      <c r="D82" s="5" t="inlineStr">
        <is>
          <t>US/Intl</t>
        </is>
      </c>
      <c r="E82" s="5" t="inlineStr">
        <is>
          <t>Prestige drama</t>
        </is>
      </c>
      <c r="F82" s="5" t="inlineStr">
        <is>
          <t>Drama,Biopic,Historical/Epic</t>
        </is>
      </c>
      <c r="G82" s="5" t="inlineStr">
        <is>
          <t>Mid/Studio</t>
        </is>
      </c>
      <c r="H82" s="5" t="inlineStr">
        <is>
          <t>character-forward, cinematic</t>
        </is>
      </c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>
        <is>
          <t>Seeded</t>
        </is>
      </c>
      <c r="S82" s="5" t="inlineStr">
        <is>
          <t>2026-01-29</t>
        </is>
      </c>
      <c r="T82" s="5" t="inlineStr">
        <is>
          <t>https://en.wikipedia.org/w/index.php?search=Gina+Prince-Bythewood</t>
        </is>
      </c>
      <c r="U82" s="5" t="inlineStr">
        <is>
          <t>https://www.imdb.com/find/?q=Gina+Prince-Bythewood&amp;s=nm</t>
        </is>
      </c>
      <c r="AO82" s="19">
        <f>IFERROR(VLOOKUP(AN82,BUDGET_BANDS!$A$2:$C$9,2,FALSE),"")</f>
        <v/>
      </c>
      <c r="AP82" s="19">
        <f>IFERROR(VLOOKUP(AN82,BUDGET_BANDS!$A$2:$C$9,3,FALSE),"")</f>
        <v/>
      </c>
    </row>
    <row r="83">
      <c r="A83" s="5" t="inlineStr">
        <is>
          <t>Gore Verbinski</t>
        </is>
      </c>
      <c r="B83" s="5" t="inlineStr">
        <is>
          <t>T2</t>
        </is>
      </c>
      <c r="C83" s="5" t="inlineStr">
        <is>
          <t>Established</t>
        </is>
      </c>
      <c r="D83" s="5" t="inlineStr">
        <is>
          <t>US/Intl</t>
        </is>
      </c>
      <c r="E83" s="5" t="inlineStr">
        <is>
          <t>Family</t>
        </is>
      </c>
      <c r="F83" s="5" t="inlineStr">
        <is>
          <t>Fantasy,Adventure,Animation</t>
        </is>
      </c>
      <c r="G83" s="5" t="inlineStr">
        <is>
          <t>Studio/Tentpole</t>
        </is>
      </c>
      <c r="H83" s="5" t="inlineStr">
        <is>
          <t>accessible, emotional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>
        <is>
          <t>Seeded</t>
        </is>
      </c>
      <c r="S83" s="5" t="inlineStr">
        <is>
          <t>2026-01-29</t>
        </is>
      </c>
      <c r="T83" s="5" t="inlineStr">
        <is>
          <t>https://en.wikipedia.org/w/index.php?search=Gore+Verbinski</t>
        </is>
      </c>
      <c r="U83" s="5" t="inlineStr">
        <is>
          <t>https://www.imdb.com/find/?q=Gore+Verbinski&amp;s=nm</t>
        </is>
      </c>
      <c r="AO83" s="19">
        <f>IFERROR(VLOOKUP(AN83,BUDGET_BANDS!$A$2:$C$9,2,FALSE),"")</f>
        <v/>
      </c>
      <c r="AP83" s="19">
        <f>IFERROR(VLOOKUP(AN83,BUDGET_BANDS!$A$2:$C$9,3,FALSE),"")</f>
        <v/>
      </c>
    </row>
    <row r="84">
      <c r="A84" s="5" t="inlineStr">
        <is>
          <t>Greg Mottola</t>
        </is>
      </c>
      <c r="B84" s="5" t="inlineStr">
        <is>
          <t>T2</t>
        </is>
      </c>
      <c r="C84" s="5" t="inlineStr">
        <is>
          <t>Established</t>
        </is>
      </c>
      <c r="D84" s="5" t="inlineStr">
        <is>
          <t>US/UK</t>
        </is>
      </c>
      <c r="E84" s="5" t="inlineStr">
        <is>
          <t>Comedy</t>
        </is>
      </c>
      <c r="F84" s="5" t="inlineStr">
        <is>
          <t>Action-comedy,Drama</t>
        </is>
      </c>
      <c r="G84" s="5" t="inlineStr">
        <is>
          <t>Mid/Studio</t>
        </is>
      </c>
      <c r="H84" s="5" t="inlineStr">
        <is>
          <t>comedic, commercial</t>
        </is>
      </c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>
        <is>
          <t>Seeded</t>
        </is>
      </c>
      <c r="S84" s="5" t="inlineStr">
        <is>
          <t>2026-01-29</t>
        </is>
      </c>
      <c r="T84" s="5" t="inlineStr">
        <is>
          <t>https://en.wikipedia.org/w/index.php?search=Greg+Mottola</t>
        </is>
      </c>
      <c r="U84" s="5" t="inlineStr">
        <is>
          <t>https://www.imdb.com/find/?q=Greg+Mottola&amp;s=nm</t>
        </is>
      </c>
      <c r="AO84" s="19">
        <f>IFERROR(VLOOKUP(AN84,BUDGET_BANDS!$A$2:$C$9,2,FALSE),"")</f>
        <v/>
      </c>
      <c r="AP84" s="19">
        <f>IFERROR(VLOOKUP(AN84,BUDGET_BANDS!$A$2:$C$9,3,FALSE),"")</f>
        <v/>
      </c>
    </row>
    <row r="85">
      <c r="A85" s="5" t="inlineStr">
        <is>
          <t>Guy Ritchie</t>
        </is>
      </c>
      <c r="B85" s="5" t="inlineStr">
        <is>
          <t>T2</t>
        </is>
      </c>
      <c r="C85" s="5" t="inlineStr">
        <is>
          <t>Established</t>
        </is>
      </c>
      <c r="D85" s="5" t="inlineStr">
        <is>
          <t>US/Intl</t>
        </is>
      </c>
      <c r="E85" s="5" t="inlineStr">
        <is>
          <t>Action</t>
        </is>
      </c>
      <c r="F85" s="5" t="inlineStr">
        <is>
          <t>Thriller/Mystery,Crime/Heist</t>
        </is>
      </c>
      <c r="G85" s="5" t="inlineStr">
        <is>
          <t>Studio/Mid</t>
        </is>
      </c>
      <c r="H85" s="5" t="inlineStr">
        <is>
          <t>propulsive, commercial</t>
        </is>
      </c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>
        <is>
          <t>Seeded</t>
        </is>
      </c>
      <c r="S85" s="5" t="inlineStr">
        <is>
          <t>2026-01-29</t>
        </is>
      </c>
      <c r="T85" s="5" t="inlineStr">
        <is>
          <t>https://en.wikipedia.org/w/index.php?search=Guy+Ritchie</t>
        </is>
      </c>
      <c r="U85" s="5" t="inlineStr">
        <is>
          <t>https://www.imdb.com/find/?q=Guy+Ritchie&amp;s=nm</t>
        </is>
      </c>
      <c r="AO85" s="19">
        <f>IFERROR(VLOOKUP(AN85,BUDGET_BANDS!$A$2:$C$9,2,FALSE),"")</f>
        <v/>
      </c>
      <c r="AP85" s="19">
        <f>IFERROR(VLOOKUP(AN85,BUDGET_BANDS!$A$2:$C$9,3,FALSE),"")</f>
        <v/>
      </c>
    </row>
    <row r="86">
      <c r="A86" s="5" t="inlineStr">
        <is>
          <t>Hayao Miyazaki</t>
        </is>
      </c>
      <c r="B86" s="5" t="inlineStr">
        <is>
          <t>T2</t>
        </is>
      </c>
      <c r="C86" s="5" t="inlineStr">
        <is>
          <t>Established</t>
        </is>
      </c>
      <c r="D86" s="5" t="inlineStr">
        <is>
          <t>US/Intl</t>
        </is>
      </c>
      <c r="E86" s="5" t="inlineStr">
        <is>
          <t>Animation</t>
        </is>
      </c>
      <c r="F86" s="5" t="inlineStr">
        <is>
          <t>Family,Fantasy</t>
        </is>
      </c>
      <c r="G86" s="5" t="inlineStr">
        <is>
          <t>Studio</t>
        </is>
      </c>
      <c r="H86" s="5" t="inlineStr">
        <is>
          <t>animated, family</t>
        </is>
      </c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>
        <is>
          <t>Seeded</t>
        </is>
      </c>
      <c r="S86" s="5" t="inlineStr">
        <is>
          <t>2026-01-29</t>
        </is>
      </c>
      <c r="T86" s="5" t="inlineStr">
        <is>
          <t>https://en.wikipedia.org/w/index.php?search=Hayao+Miyazaki</t>
        </is>
      </c>
      <c r="U86" s="5" t="inlineStr">
        <is>
          <t>https://www.imdb.com/find/?q=Hayao+Miyazaki&amp;s=nm</t>
        </is>
      </c>
      <c r="AO86" s="19">
        <f>IFERROR(VLOOKUP(AN86,BUDGET_BANDS!$A$2:$C$9,2,FALSE),"")</f>
        <v/>
      </c>
      <c r="AP86" s="19">
        <f>IFERROR(VLOOKUP(AN86,BUDGET_BANDS!$A$2:$C$9,3,FALSE),"")</f>
        <v/>
      </c>
    </row>
    <row r="87">
      <c r="A87" s="5" t="inlineStr">
        <is>
          <t>Hirokazu Kore-eda</t>
        </is>
      </c>
      <c r="B87" s="5" t="inlineStr">
        <is>
          <t>T2</t>
        </is>
      </c>
      <c r="C87" s="5" t="inlineStr">
        <is>
          <t>Established</t>
        </is>
      </c>
      <c r="D87" s="5" t="inlineStr">
        <is>
          <t>US/Intl</t>
        </is>
      </c>
      <c r="E87" s="5" t="inlineStr">
        <is>
          <t>Prestige drama</t>
        </is>
      </c>
      <c r="F87" s="5" t="inlineStr">
        <is>
          <t>Drama,Biopic,Historical/Epic</t>
        </is>
      </c>
      <c r="G87" s="5" t="inlineStr">
        <is>
          <t>Mid/Studio</t>
        </is>
      </c>
      <c r="H87" s="5" t="inlineStr">
        <is>
          <t>character-forward, cinematic</t>
        </is>
      </c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>
        <is>
          <t>Seeded</t>
        </is>
      </c>
      <c r="S87" s="5" t="inlineStr">
        <is>
          <t>2026-01-29</t>
        </is>
      </c>
      <c r="T87" s="5" t="inlineStr">
        <is>
          <t>https://en.wikipedia.org/w/index.php?search=Hirokazu+Kore-eda</t>
        </is>
      </c>
      <c r="U87" s="5" t="inlineStr">
        <is>
          <t>https://www.imdb.com/find/?q=Hirokazu+Kore-eda&amp;s=nm</t>
        </is>
      </c>
      <c r="AO87" s="19">
        <f>IFERROR(VLOOKUP(AN87,BUDGET_BANDS!$A$2:$C$9,2,FALSE),"")</f>
        <v/>
      </c>
      <c r="AP87" s="19">
        <f>IFERROR(VLOOKUP(AN87,BUDGET_BANDS!$A$2:$C$9,3,FALSE),"")</f>
        <v/>
      </c>
    </row>
    <row r="88">
      <c r="A88" s="5" t="inlineStr">
        <is>
          <t>Ira Sachs</t>
        </is>
      </c>
      <c r="B88" s="5" t="inlineStr">
        <is>
          <t>T2</t>
        </is>
      </c>
      <c r="C88" s="5" t="inlineStr">
        <is>
          <t>Established</t>
        </is>
      </c>
      <c r="D88" s="5" t="inlineStr">
        <is>
          <t>US/Intl</t>
        </is>
      </c>
      <c r="E88" s="5" t="inlineStr">
        <is>
          <t>Prestige drama</t>
        </is>
      </c>
      <c r="F88" s="5" t="inlineStr">
        <is>
          <t>Drama,Biopic,Historical/Epic</t>
        </is>
      </c>
      <c r="G88" s="5" t="inlineStr">
        <is>
          <t>Mid/Studio</t>
        </is>
      </c>
      <c r="H88" s="5" t="inlineStr">
        <is>
          <t>character-forward, cinematic</t>
        </is>
      </c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>
        <is>
          <t>Seeded</t>
        </is>
      </c>
      <c r="S88" s="5" t="inlineStr">
        <is>
          <t>2026-01-29</t>
        </is>
      </c>
      <c r="T88" s="5" t="inlineStr">
        <is>
          <t>https://en.wikipedia.org/w/index.php?search=Ira+Sachs</t>
        </is>
      </c>
      <c r="U88" s="5" t="inlineStr">
        <is>
          <t>https://www.imdb.com/find/?q=Ira+Sachs&amp;s=nm</t>
        </is>
      </c>
      <c r="AO88" s="19">
        <f>IFERROR(VLOOKUP(AN88,BUDGET_BANDS!$A$2:$C$9,2,FALSE),"")</f>
        <v/>
      </c>
      <c r="AP88" s="19">
        <f>IFERROR(VLOOKUP(AN88,BUDGET_BANDS!$A$2:$C$9,3,FALSE),"")</f>
        <v/>
      </c>
    </row>
    <row r="89">
      <c r="A89" s="5" t="inlineStr">
        <is>
          <t>J. J. Abrams</t>
        </is>
      </c>
      <c r="B89" s="5" t="inlineStr">
        <is>
          <t>T2</t>
        </is>
      </c>
      <c r="C89" s="5" t="inlineStr">
        <is>
          <t>Established</t>
        </is>
      </c>
      <c r="D89" s="5" t="inlineStr">
        <is>
          <t>US/Intl</t>
        </is>
      </c>
      <c r="E89" s="5" t="inlineStr">
        <is>
          <t>Sci-fi</t>
        </is>
      </c>
      <c r="F89" s="5" t="inlineStr">
        <is>
          <t>Action,Thriller/Mystery</t>
        </is>
      </c>
      <c r="G89" s="5" t="inlineStr">
        <is>
          <t>Studio/Tentpole</t>
        </is>
      </c>
      <c r="H89" s="5" t="inlineStr">
        <is>
          <t>concept-driven, visual</t>
        </is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>
        <is>
          <t>Seeded</t>
        </is>
      </c>
      <c r="S89" s="5" t="inlineStr">
        <is>
          <t>2026-01-29</t>
        </is>
      </c>
      <c r="T89" s="5" t="inlineStr">
        <is>
          <t>https://en.wikipedia.org/w/index.php?search=J.+J.+Abrams</t>
        </is>
      </c>
      <c r="U89" s="5" t="inlineStr">
        <is>
          <t>https://www.imdb.com/find/?q=J.+J.+Abrams&amp;s=nm</t>
        </is>
      </c>
      <c r="AO89" s="19">
        <f>IFERROR(VLOOKUP(AN89,BUDGET_BANDS!$A$2:$C$9,2,FALSE),"")</f>
        <v/>
      </c>
      <c r="AP89" s="19">
        <f>IFERROR(VLOOKUP(AN89,BUDGET_BANDS!$A$2:$C$9,3,FALSE),"")</f>
        <v/>
      </c>
    </row>
    <row r="90">
      <c r="A90" s="5" t="inlineStr">
        <is>
          <t>Jake Kasdan</t>
        </is>
      </c>
      <c r="B90" s="5" t="inlineStr">
        <is>
          <t>T2</t>
        </is>
      </c>
      <c r="C90" s="5" t="inlineStr">
        <is>
          <t>Established</t>
        </is>
      </c>
      <c r="D90" s="5" t="inlineStr">
        <is>
          <t>US/UK</t>
        </is>
      </c>
      <c r="E90" s="5" t="inlineStr">
        <is>
          <t>Comedy</t>
        </is>
      </c>
      <c r="F90" s="5" t="inlineStr">
        <is>
          <t>Action-comedy,Drama</t>
        </is>
      </c>
      <c r="G90" s="5" t="inlineStr">
        <is>
          <t>Mid/Studio</t>
        </is>
      </c>
      <c r="H90" s="5" t="inlineStr">
        <is>
          <t>comedic, commercial</t>
        </is>
      </c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>
        <is>
          <t>Seeded</t>
        </is>
      </c>
      <c r="S90" s="5" t="inlineStr">
        <is>
          <t>2026-01-29</t>
        </is>
      </c>
      <c r="T90" s="5" t="inlineStr">
        <is>
          <t>https://en.wikipedia.org/w/index.php?search=Jake+Kasdan</t>
        </is>
      </c>
      <c r="U90" s="5" t="inlineStr">
        <is>
          <t>https://www.imdb.com/find/?q=Jake+Kasdan&amp;s=nm</t>
        </is>
      </c>
      <c r="AO90" s="19">
        <f>IFERROR(VLOOKUP(AN90,BUDGET_BANDS!$A$2:$C$9,2,FALSE),"")</f>
        <v/>
      </c>
      <c r="AP90" s="19">
        <f>IFERROR(VLOOKUP(AN90,BUDGET_BANDS!$A$2:$C$9,3,FALSE),"")</f>
        <v/>
      </c>
    </row>
    <row r="91">
      <c r="A91" s="5" t="inlineStr">
        <is>
          <t>James Bobin</t>
        </is>
      </c>
      <c r="B91" s="5" t="inlineStr">
        <is>
          <t>T2</t>
        </is>
      </c>
      <c r="C91" s="5" t="inlineStr">
        <is>
          <t>Established</t>
        </is>
      </c>
      <c r="D91" s="5" t="inlineStr">
        <is>
          <t>US/Intl</t>
        </is>
      </c>
      <c r="E91" s="5" t="inlineStr">
        <is>
          <t>Family</t>
        </is>
      </c>
      <c r="F91" s="5" t="inlineStr">
        <is>
          <t>Fantasy,Adventure,Animation</t>
        </is>
      </c>
      <c r="G91" s="5" t="inlineStr">
        <is>
          <t>Studio/Tentpole</t>
        </is>
      </c>
      <c r="H91" s="5" t="inlineStr">
        <is>
          <t>accessible, emotional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>
        <is>
          <t>Seeded</t>
        </is>
      </c>
      <c r="S91" s="5" t="inlineStr">
        <is>
          <t>2026-01-29</t>
        </is>
      </c>
      <c r="T91" s="5" t="inlineStr">
        <is>
          <t>https://en.wikipedia.org/w/index.php?search=James+Bobin</t>
        </is>
      </c>
      <c r="U91" s="5" t="inlineStr">
        <is>
          <t>https://www.imdb.com/find/?q=James+Bobin&amp;s=nm</t>
        </is>
      </c>
      <c r="AO91" s="19">
        <f>IFERROR(VLOOKUP(AN91,BUDGET_BANDS!$A$2:$C$9,2,FALSE),"")</f>
        <v/>
      </c>
      <c r="AP91" s="19">
        <f>IFERROR(VLOOKUP(AN91,BUDGET_BANDS!$A$2:$C$9,3,FALSE),"")</f>
        <v/>
      </c>
    </row>
    <row r="92">
      <c r="A92" s="5" t="inlineStr">
        <is>
          <t>James DeMonaco</t>
        </is>
      </c>
      <c r="B92" s="5" t="inlineStr">
        <is>
          <t>T2</t>
        </is>
      </c>
      <c r="C92" s="5" t="inlineStr">
        <is>
          <t>Established</t>
        </is>
      </c>
      <c r="D92" s="5" t="inlineStr">
        <is>
          <t>US/Intl</t>
        </is>
      </c>
      <c r="E92" s="5" t="inlineStr">
        <is>
          <t>Horror</t>
        </is>
      </c>
      <c r="F92" s="5" t="inlineStr">
        <is>
          <t>Thriller/Mystery</t>
        </is>
      </c>
      <c r="G92" s="5" t="inlineStr">
        <is>
          <t>Low/Mid/Studio</t>
        </is>
      </c>
      <c r="H92" s="5" t="inlineStr">
        <is>
          <t>tense, atmospheric</t>
        </is>
      </c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>
        <is>
          <t>Seeded</t>
        </is>
      </c>
      <c r="S92" s="5" t="inlineStr">
        <is>
          <t>2026-01-29</t>
        </is>
      </c>
      <c r="T92" s="5" t="inlineStr">
        <is>
          <t>https://en.wikipedia.org/w/index.php?search=James+DeMonaco</t>
        </is>
      </c>
      <c r="U92" s="5" t="inlineStr">
        <is>
          <t>https://www.imdb.com/find/?q=James+DeMonaco&amp;s=nm</t>
        </is>
      </c>
      <c r="AO92" s="19">
        <f>IFERROR(VLOOKUP(AN92,BUDGET_BANDS!$A$2:$C$9,2,FALSE),"")</f>
        <v/>
      </c>
      <c r="AP92" s="19">
        <f>IFERROR(VLOOKUP(AN92,BUDGET_BANDS!$A$2:$C$9,3,FALSE),"")</f>
        <v/>
      </c>
    </row>
    <row r="93">
      <c r="A93" s="5" t="inlineStr">
        <is>
          <t>James Gray</t>
        </is>
      </c>
      <c r="B93" s="5" t="inlineStr">
        <is>
          <t>T2</t>
        </is>
      </c>
      <c r="C93" s="5" t="inlineStr">
        <is>
          <t>Established</t>
        </is>
      </c>
      <c r="D93" s="5" t="inlineStr">
        <is>
          <t>US/Intl</t>
        </is>
      </c>
      <c r="E93" s="5" t="inlineStr">
        <is>
          <t>Prestige drama</t>
        </is>
      </c>
      <c r="F93" s="5" t="inlineStr">
        <is>
          <t>Drama,Biopic,Historical/Epic</t>
        </is>
      </c>
      <c r="G93" s="5" t="inlineStr">
        <is>
          <t>Mid/Studio</t>
        </is>
      </c>
      <c r="H93" s="5" t="inlineStr">
        <is>
          <t>character-forward, cinematic</t>
        </is>
      </c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>
        <is>
          <t>Seeded</t>
        </is>
      </c>
      <c r="S93" s="5" t="inlineStr">
        <is>
          <t>2026-01-29</t>
        </is>
      </c>
      <c r="T93" s="5" t="inlineStr">
        <is>
          <t>https://en.wikipedia.org/w/index.php?search=James+Gray</t>
        </is>
      </c>
      <c r="U93" s="5" t="inlineStr">
        <is>
          <t>https://www.imdb.com/find/?q=James+Gray&amp;s=nm</t>
        </is>
      </c>
      <c r="AO93" s="19">
        <f>IFERROR(VLOOKUP(AN93,BUDGET_BANDS!$A$2:$C$9,2,FALSE),"")</f>
        <v/>
      </c>
      <c r="AP93" s="19">
        <f>IFERROR(VLOOKUP(AN93,BUDGET_BANDS!$A$2:$C$9,3,FALSE),"")</f>
        <v/>
      </c>
    </row>
    <row r="94">
      <c r="A94" s="5" t="inlineStr">
        <is>
          <t>James Mangold</t>
        </is>
      </c>
      <c r="B94" s="5" t="inlineStr">
        <is>
          <t>T2</t>
        </is>
      </c>
      <c r="C94" s="5" t="inlineStr">
        <is>
          <t>Established</t>
        </is>
      </c>
      <c r="D94" s="5" t="inlineStr">
        <is>
          <t>US/Intl</t>
        </is>
      </c>
      <c r="E94" s="5" t="inlineStr">
        <is>
          <t>Action</t>
        </is>
      </c>
      <c r="F94" s="5" t="inlineStr">
        <is>
          <t>Thriller/Mystery,Crime/Heist</t>
        </is>
      </c>
      <c r="G94" s="5" t="inlineStr">
        <is>
          <t>Studio/Mid</t>
        </is>
      </c>
      <c r="H94" s="5" t="inlineStr">
        <is>
          <t>propulsive, commercial</t>
        </is>
      </c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>
        <is>
          <t>Seeded</t>
        </is>
      </c>
      <c r="S94" s="5" t="inlineStr">
        <is>
          <t>2026-01-29</t>
        </is>
      </c>
      <c r="T94" s="5" t="inlineStr">
        <is>
          <t>https://en.wikipedia.org/w/index.php?search=James+Mangold</t>
        </is>
      </c>
      <c r="U94" s="5" t="inlineStr">
        <is>
          <t>https://www.imdb.com/find/?q=James+Mangold&amp;s=nm</t>
        </is>
      </c>
      <c r="AO94" s="19">
        <f>IFERROR(VLOOKUP(AN94,BUDGET_BANDS!$A$2:$C$9,2,FALSE),"")</f>
        <v/>
      </c>
      <c r="AP94" s="19">
        <f>IFERROR(VLOOKUP(AN94,BUDGET_BANDS!$A$2:$C$9,3,FALSE),"")</f>
        <v/>
      </c>
    </row>
    <row r="95">
      <c r="A95" s="5" t="inlineStr">
        <is>
          <t>Jason Reitman</t>
        </is>
      </c>
      <c r="B95" s="5" t="inlineStr">
        <is>
          <t>T2</t>
        </is>
      </c>
      <c r="C95" s="5" t="inlineStr">
        <is>
          <t>Established</t>
        </is>
      </c>
      <c r="D95" s="5" t="inlineStr">
        <is>
          <t>US/UK</t>
        </is>
      </c>
      <c r="E95" s="5" t="inlineStr">
        <is>
          <t>Comedy</t>
        </is>
      </c>
      <c r="F95" s="5" t="inlineStr">
        <is>
          <t>Action-comedy,Drama</t>
        </is>
      </c>
      <c r="G95" s="5" t="inlineStr">
        <is>
          <t>Mid/Studio</t>
        </is>
      </c>
      <c r="H95" s="5" t="inlineStr">
        <is>
          <t>comedic, commercial</t>
        </is>
      </c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>
        <is>
          <t>Seeded</t>
        </is>
      </c>
      <c r="S95" s="5" t="inlineStr">
        <is>
          <t>2026-01-29</t>
        </is>
      </c>
      <c r="T95" s="5" t="inlineStr">
        <is>
          <t>https://en.wikipedia.org/w/index.php?search=Jason+Reitman</t>
        </is>
      </c>
      <c r="U95" s="5" t="inlineStr">
        <is>
          <t>https://www.imdb.com/find/?q=Jason+Reitman&amp;s=nm</t>
        </is>
      </c>
      <c r="AO95" s="19">
        <f>IFERROR(VLOOKUP(AN95,BUDGET_BANDS!$A$2:$C$9,2,FALSE),"")</f>
        <v/>
      </c>
      <c r="AP95" s="19">
        <f>IFERROR(VLOOKUP(AN95,BUDGET_BANDS!$A$2:$C$9,3,FALSE),"")</f>
        <v/>
      </c>
    </row>
    <row r="96">
      <c r="A96" s="5" t="inlineStr">
        <is>
          <t>Jaume Balagueró</t>
        </is>
      </c>
      <c r="B96" s="5" t="inlineStr">
        <is>
          <t>T2</t>
        </is>
      </c>
      <c r="C96" s="5" t="inlineStr">
        <is>
          <t>Established</t>
        </is>
      </c>
      <c r="D96" s="5" t="inlineStr">
        <is>
          <t>US/Intl</t>
        </is>
      </c>
      <c r="E96" s="5" t="inlineStr">
        <is>
          <t>Horror</t>
        </is>
      </c>
      <c r="F96" s="5" t="inlineStr">
        <is>
          <t>Thriller/Mystery</t>
        </is>
      </c>
      <c r="G96" s="5" t="inlineStr">
        <is>
          <t>Low/Mid/Studio</t>
        </is>
      </c>
      <c r="H96" s="5" t="inlineStr">
        <is>
          <t>tense, atmospheric</t>
        </is>
      </c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>
        <is>
          <t>Seeded</t>
        </is>
      </c>
      <c r="S96" s="5" t="inlineStr">
        <is>
          <t>2026-01-29</t>
        </is>
      </c>
      <c r="T96" s="5" t="inlineStr">
        <is>
          <t>https://en.wikipedia.org/w/index.php?search=Jaume+Balaguer%C3%B3</t>
        </is>
      </c>
      <c r="U96" s="5" t="inlineStr">
        <is>
          <t>https://www.imdb.com/find/?q=Jaume+Balaguer%C3%B3&amp;s=nm</t>
        </is>
      </c>
      <c r="AO96" s="19">
        <f>IFERROR(VLOOKUP(AN96,BUDGET_BANDS!$A$2:$C$9,2,FALSE),"")</f>
        <v/>
      </c>
      <c r="AP96" s="19">
        <f>IFERROR(VLOOKUP(AN96,BUDGET_BANDS!$A$2:$C$9,3,FALSE),"")</f>
        <v/>
      </c>
    </row>
    <row r="97">
      <c r="A97" s="5" t="inlineStr">
        <is>
          <t>Jaume Collet-Serra</t>
        </is>
      </c>
      <c r="B97" s="5" t="inlineStr">
        <is>
          <t>T2</t>
        </is>
      </c>
      <c r="C97" s="5" t="inlineStr">
        <is>
          <t>Established</t>
        </is>
      </c>
      <c r="D97" s="5" t="inlineStr">
        <is>
          <t>US/Intl</t>
        </is>
      </c>
      <c r="E97" s="5" t="inlineStr">
        <is>
          <t>Action</t>
        </is>
      </c>
      <c r="F97" s="5" t="inlineStr">
        <is>
          <t>Thriller/Mystery,Crime/Heist</t>
        </is>
      </c>
      <c r="G97" s="5" t="inlineStr">
        <is>
          <t>Studio/Mid</t>
        </is>
      </c>
      <c r="H97" s="5" t="inlineStr">
        <is>
          <t>propulsive, commercial</t>
        </is>
      </c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>
        <is>
          <t>Seeded</t>
        </is>
      </c>
      <c r="S97" s="5" t="inlineStr">
        <is>
          <t>2026-01-29</t>
        </is>
      </c>
      <c r="T97" s="5" t="inlineStr">
        <is>
          <t>https://en.wikipedia.org/w/index.php?search=Jaume+Collet-Serra</t>
        </is>
      </c>
      <c r="U97" s="5" t="inlineStr">
        <is>
          <t>https://www.imdb.com/find/?q=Jaume+Collet-Serra&amp;s=nm</t>
        </is>
      </c>
      <c r="AO97" s="19">
        <f>IFERROR(VLOOKUP(AN97,BUDGET_BANDS!$A$2:$C$9,2,FALSE),"")</f>
        <v/>
      </c>
      <c r="AP97" s="19">
        <f>IFERROR(VLOOKUP(AN97,BUDGET_BANDS!$A$2:$C$9,3,FALSE),"")</f>
        <v/>
      </c>
    </row>
    <row r="98">
      <c r="A98" s="5" t="inlineStr">
        <is>
          <t>Jennifer Kent</t>
        </is>
      </c>
      <c r="B98" s="5" t="inlineStr">
        <is>
          <t>T2</t>
        </is>
      </c>
      <c r="C98" s="5" t="inlineStr">
        <is>
          <t>Established</t>
        </is>
      </c>
      <c r="D98" s="5" t="inlineStr">
        <is>
          <t>US/Intl</t>
        </is>
      </c>
      <c r="E98" s="5" t="inlineStr">
        <is>
          <t>Horror</t>
        </is>
      </c>
      <c r="F98" s="5" t="inlineStr">
        <is>
          <t>Thriller/Mystery</t>
        </is>
      </c>
      <c r="G98" s="5" t="inlineStr">
        <is>
          <t>Low/Mid/Studio</t>
        </is>
      </c>
      <c r="H98" s="5" t="inlineStr">
        <is>
          <t>tense, atmospheric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>
        <is>
          <t>Seeded</t>
        </is>
      </c>
      <c r="S98" s="5" t="inlineStr">
        <is>
          <t>2026-01-29</t>
        </is>
      </c>
      <c r="T98" s="5" t="inlineStr">
        <is>
          <t>https://en.wikipedia.org/w/index.php?search=Jennifer+Kent</t>
        </is>
      </c>
      <c r="U98" s="5" t="inlineStr">
        <is>
          <t>https://www.imdb.com/find/?q=Jennifer+Kent&amp;s=nm</t>
        </is>
      </c>
      <c r="AO98" s="19">
        <f>IFERROR(VLOOKUP(AN98,BUDGET_BANDS!$A$2:$C$9,2,FALSE),"")</f>
        <v/>
      </c>
      <c r="AP98" s="19">
        <f>IFERROR(VLOOKUP(AN98,BUDGET_BANDS!$A$2:$C$9,3,FALSE),"")</f>
        <v/>
      </c>
    </row>
    <row r="99">
      <c r="A99" s="5" t="inlineStr">
        <is>
          <t>Jennifer Lee</t>
        </is>
      </c>
      <c r="B99" s="5" t="inlineStr">
        <is>
          <t>T2</t>
        </is>
      </c>
      <c r="C99" s="5" t="inlineStr">
        <is>
          <t>Established</t>
        </is>
      </c>
      <c r="D99" s="5" t="inlineStr">
        <is>
          <t>US/Intl</t>
        </is>
      </c>
      <c r="E99" s="5" t="inlineStr">
        <is>
          <t>Animation</t>
        </is>
      </c>
      <c r="F99" s="5" t="inlineStr">
        <is>
          <t>Family,Fantasy</t>
        </is>
      </c>
      <c r="G99" s="5" t="inlineStr">
        <is>
          <t>Studio</t>
        </is>
      </c>
      <c r="H99" s="5" t="inlineStr">
        <is>
          <t>animated, family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>
        <is>
          <t>Seeded</t>
        </is>
      </c>
      <c r="S99" s="5" t="inlineStr">
        <is>
          <t>2026-01-29</t>
        </is>
      </c>
      <c r="T99" s="5" t="inlineStr">
        <is>
          <t>https://en.wikipedia.org/w/index.php?search=Jennifer+Lee</t>
        </is>
      </c>
      <c r="U99" s="5" t="inlineStr">
        <is>
          <t>https://www.imdb.com/find/?q=Jennifer+Lee&amp;s=nm</t>
        </is>
      </c>
      <c r="AO99" s="19">
        <f>IFERROR(VLOOKUP(AN99,BUDGET_BANDS!$A$2:$C$9,2,FALSE),"")</f>
        <v/>
      </c>
      <c r="AP99" s="19">
        <f>IFERROR(VLOOKUP(AN99,BUDGET_BANDS!$A$2:$C$9,3,FALSE),"")</f>
        <v/>
      </c>
    </row>
    <row r="100">
      <c r="A100" s="5" t="inlineStr">
        <is>
          <t>Joe Carnahan</t>
        </is>
      </c>
      <c r="B100" s="5" t="inlineStr">
        <is>
          <t>T2</t>
        </is>
      </c>
      <c r="C100" s="5" t="inlineStr">
        <is>
          <t>Established</t>
        </is>
      </c>
      <c r="D100" s="5" t="inlineStr">
        <is>
          <t>US/Intl</t>
        </is>
      </c>
      <c r="E100" s="5" t="inlineStr">
        <is>
          <t>Action</t>
        </is>
      </c>
      <c r="F100" s="5" t="inlineStr">
        <is>
          <t>Thriller/Mystery,Crime/Heist</t>
        </is>
      </c>
      <c r="G100" s="5" t="inlineStr">
        <is>
          <t>Studio/Mid</t>
        </is>
      </c>
      <c r="H100" s="5" t="inlineStr">
        <is>
          <t>propulsive, commercial</t>
        </is>
      </c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>
        <is>
          <t>Seeded</t>
        </is>
      </c>
      <c r="S100" s="5" t="inlineStr">
        <is>
          <t>2026-01-29</t>
        </is>
      </c>
      <c r="T100" s="5" t="inlineStr">
        <is>
          <t>https://en.wikipedia.org/w/index.php?search=Joe+Carnahan</t>
        </is>
      </c>
      <c r="U100" s="5" t="inlineStr">
        <is>
          <t>https://www.imdb.com/find/?q=Joe+Carnahan&amp;s=nm</t>
        </is>
      </c>
      <c r="AO100" s="19">
        <f>IFERROR(VLOOKUP(AN100,BUDGET_BANDS!$A$2:$C$9,2,FALSE),"")</f>
        <v/>
      </c>
      <c r="AP100" s="19">
        <f>IFERROR(VLOOKUP(AN100,BUDGET_BANDS!$A$2:$C$9,3,FALSE),"")</f>
        <v/>
      </c>
    </row>
    <row r="101">
      <c r="A101" s="5" t="inlineStr">
        <is>
          <t>Joe Johnston</t>
        </is>
      </c>
      <c r="B101" s="5" t="inlineStr">
        <is>
          <t>T2</t>
        </is>
      </c>
      <c r="C101" s="5" t="inlineStr">
        <is>
          <t>Established</t>
        </is>
      </c>
      <c r="D101" s="5" t="inlineStr">
        <is>
          <t>US/Intl</t>
        </is>
      </c>
      <c r="E101" s="5" t="inlineStr">
        <is>
          <t>Family</t>
        </is>
      </c>
      <c r="F101" s="5" t="inlineStr">
        <is>
          <t>Fantasy,Adventure,Animation</t>
        </is>
      </c>
      <c r="G101" s="5" t="inlineStr">
        <is>
          <t>Studio/Tentpole</t>
        </is>
      </c>
      <c r="H101" s="5" t="inlineStr">
        <is>
          <t>accessible, emotional</t>
        </is>
      </c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>
        <is>
          <t>Seeded</t>
        </is>
      </c>
      <c r="S101" s="5" t="inlineStr">
        <is>
          <t>2026-01-29</t>
        </is>
      </c>
      <c r="T101" s="5" t="inlineStr">
        <is>
          <t>https://en.wikipedia.org/w/index.php?search=Joe+Johnston</t>
        </is>
      </c>
      <c r="U101" s="5" t="inlineStr">
        <is>
          <t>https://www.imdb.com/find/?q=Joe+Johnston&amp;s=nm</t>
        </is>
      </c>
      <c r="AO101" s="19">
        <f>IFERROR(VLOOKUP(AN101,BUDGET_BANDS!$A$2:$C$9,2,FALSE),"")</f>
        <v/>
      </c>
      <c r="AP101" s="19">
        <f>IFERROR(VLOOKUP(AN101,BUDGET_BANDS!$A$2:$C$9,3,FALSE),"")</f>
        <v/>
      </c>
    </row>
    <row r="102">
      <c r="A102" s="5" t="inlineStr">
        <is>
          <t>Joe Kosinski</t>
        </is>
      </c>
      <c r="B102" s="5" t="inlineStr">
        <is>
          <t>T2</t>
        </is>
      </c>
      <c r="C102" s="5" t="inlineStr">
        <is>
          <t>Established</t>
        </is>
      </c>
      <c r="D102" s="5" t="inlineStr">
        <is>
          <t>US/Intl</t>
        </is>
      </c>
      <c r="E102" s="5" t="inlineStr">
        <is>
          <t>Action</t>
        </is>
      </c>
      <c r="F102" s="5" t="inlineStr">
        <is>
          <t>Thriller/Mystery,Crime/Heist</t>
        </is>
      </c>
      <c r="G102" s="5" t="inlineStr">
        <is>
          <t>Studio/Mid</t>
        </is>
      </c>
      <c r="H102" s="5" t="inlineStr">
        <is>
          <t>propulsive, commercial</t>
        </is>
      </c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>
        <is>
          <t>Seeded</t>
        </is>
      </c>
      <c r="S102" s="5" t="inlineStr">
        <is>
          <t>2026-01-29</t>
        </is>
      </c>
      <c r="T102" s="5" t="inlineStr">
        <is>
          <t>https://en.wikipedia.org/w/index.php?search=Joe+Kosinski</t>
        </is>
      </c>
      <c r="U102" s="5" t="inlineStr">
        <is>
          <t>https://www.imdb.com/find/?q=Joe+Kosinski&amp;s=nm</t>
        </is>
      </c>
      <c r="AO102" s="19">
        <f>IFERROR(VLOOKUP(AN102,BUDGET_BANDS!$A$2:$C$9,2,FALSE),"")</f>
        <v/>
      </c>
      <c r="AP102" s="19">
        <f>IFERROR(VLOOKUP(AN102,BUDGET_BANDS!$A$2:$C$9,3,FALSE),"")</f>
        <v/>
      </c>
    </row>
    <row r="103">
      <c r="A103" s="5" t="inlineStr">
        <is>
          <t>John Francis Daley</t>
        </is>
      </c>
      <c r="B103" s="5" t="inlineStr">
        <is>
          <t>T2</t>
        </is>
      </c>
      <c r="C103" s="5" t="inlineStr">
        <is>
          <t>Established</t>
        </is>
      </c>
      <c r="D103" s="5" t="inlineStr">
        <is>
          <t>US/UK</t>
        </is>
      </c>
      <c r="E103" s="5" t="inlineStr">
        <is>
          <t>Comedy</t>
        </is>
      </c>
      <c r="F103" s="5" t="inlineStr">
        <is>
          <t>Action-comedy,Drama</t>
        </is>
      </c>
      <c r="G103" s="5" t="inlineStr">
        <is>
          <t>Mid/Studio</t>
        </is>
      </c>
      <c r="H103" s="5" t="inlineStr">
        <is>
          <t>comedic, commercial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>
        <is>
          <t>Seeded</t>
        </is>
      </c>
      <c r="S103" s="5" t="inlineStr">
        <is>
          <t>2026-01-29</t>
        </is>
      </c>
      <c r="T103" s="5" t="inlineStr">
        <is>
          <t>https://en.wikipedia.org/w/index.php?search=John+Francis+Daley</t>
        </is>
      </c>
      <c r="U103" s="5" t="inlineStr">
        <is>
          <t>https://www.imdb.com/find/?q=John+Francis+Daley&amp;s=nm</t>
        </is>
      </c>
      <c r="AO103" s="19">
        <f>IFERROR(VLOOKUP(AN103,BUDGET_BANDS!$A$2:$C$9,2,FALSE),"")</f>
        <v/>
      </c>
      <c r="AP103" s="19">
        <f>IFERROR(VLOOKUP(AN103,BUDGET_BANDS!$A$2:$C$9,3,FALSE),"")</f>
        <v/>
      </c>
    </row>
    <row r="104">
      <c r="A104" s="5" t="inlineStr">
        <is>
          <t>Joko Anwar</t>
        </is>
      </c>
      <c r="B104" s="5" t="inlineStr">
        <is>
          <t>T2</t>
        </is>
      </c>
      <c r="C104" s="5" t="inlineStr">
        <is>
          <t>Established</t>
        </is>
      </c>
      <c r="D104" s="5" t="inlineStr">
        <is>
          <t>US/Intl</t>
        </is>
      </c>
      <c r="E104" s="5" t="inlineStr">
        <is>
          <t>Horror</t>
        </is>
      </c>
      <c r="F104" s="5" t="inlineStr">
        <is>
          <t>Thriller/Mystery</t>
        </is>
      </c>
      <c r="G104" s="5" t="inlineStr">
        <is>
          <t>Low/Mid/Studio</t>
        </is>
      </c>
      <c r="H104" s="5" t="inlineStr">
        <is>
          <t>tense, atmospheric</t>
        </is>
      </c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>
        <is>
          <t>Seeded</t>
        </is>
      </c>
      <c r="S104" s="5" t="inlineStr">
        <is>
          <t>2026-01-29</t>
        </is>
      </c>
      <c r="T104" s="5" t="inlineStr">
        <is>
          <t>https://en.wikipedia.org/w/index.php?search=Joko+Anwar</t>
        </is>
      </c>
      <c r="U104" s="5" t="inlineStr">
        <is>
          <t>https://www.imdb.com/find/?q=Joko+Anwar&amp;s=nm</t>
        </is>
      </c>
      <c r="AO104" s="19">
        <f>IFERROR(VLOOKUP(AN104,BUDGET_BANDS!$A$2:$C$9,2,FALSE),"")</f>
        <v/>
      </c>
      <c r="AP104" s="19">
        <f>IFERROR(VLOOKUP(AN104,BUDGET_BANDS!$A$2:$C$9,3,FALSE),"")</f>
        <v/>
      </c>
    </row>
    <row r="105">
      <c r="A105" s="5" t="inlineStr">
        <is>
          <t>Jon Favreau</t>
        </is>
      </c>
      <c r="B105" s="5" t="inlineStr">
        <is>
          <t>T2</t>
        </is>
      </c>
      <c r="C105" s="5" t="inlineStr">
        <is>
          <t>Established</t>
        </is>
      </c>
      <c r="D105" s="5" t="inlineStr">
        <is>
          <t>US/Intl</t>
        </is>
      </c>
      <c r="E105" s="5" t="inlineStr">
        <is>
          <t>Family</t>
        </is>
      </c>
      <c r="F105" s="5" t="inlineStr">
        <is>
          <t>Fantasy,Adventure,Animation</t>
        </is>
      </c>
      <c r="G105" s="5" t="inlineStr">
        <is>
          <t>Studio/Tentpole</t>
        </is>
      </c>
      <c r="H105" s="5" t="inlineStr">
        <is>
          <t>accessible, emotional</t>
        </is>
      </c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>
        <is>
          <t>Seeded</t>
        </is>
      </c>
      <c r="S105" s="5" t="inlineStr">
        <is>
          <t>2026-01-29</t>
        </is>
      </c>
      <c r="T105" s="5" t="inlineStr">
        <is>
          <t>https://en.wikipedia.org/w/index.php?search=Jon+Favreau</t>
        </is>
      </c>
      <c r="U105" s="5" t="inlineStr">
        <is>
          <t>https://www.imdb.com/find/?q=Jon+Favreau&amp;s=nm</t>
        </is>
      </c>
      <c r="AO105" s="19">
        <f>IFERROR(VLOOKUP(AN105,BUDGET_BANDS!$A$2:$C$9,2,FALSE),"")</f>
        <v/>
      </c>
      <c r="AP105" s="19">
        <f>IFERROR(VLOOKUP(AN105,BUDGET_BANDS!$A$2:$C$9,3,FALSE),"")</f>
        <v/>
      </c>
    </row>
    <row r="106">
      <c r="A106" s="5" t="inlineStr">
        <is>
          <t>Jon M. Chu</t>
        </is>
      </c>
      <c r="B106" s="5" t="inlineStr">
        <is>
          <t>T2</t>
        </is>
      </c>
      <c r="C106" s="5" t="inlineStr">
        <is>
          <t>Established</t>
        </is>
      </c>
      <c r="D106" s="5" t="inlineStr">
        <is>
          <t>US/Intl</t>
        </is>
      </c>
      <c r="E106" s="5" t="inlineStr">
        <is>
          <t>Family</t>
        </is>
      </c>
      <c r="F106" s="5" t="inlineStr">
        <is>
          <t>Fantasy,Adventure,Animation</t>
        </is>
      </c>
      <c r="G106" s="5" t="inlineStr">
        <is>
          <t>Studio/Tentpole</t>
        </is>
      </c>
      <c r="H106" s="5" t="inlineStr">
        <is>
          <t>accessible, emotional</t>
        </is>
      </c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>
        <is>
          <t>Seeded</t>
        </is>
      </c>
      <c r="S106" s="5" t="inlineStr">
        <is>
          <t>2026-01-29</t>
        </is>
      </c>
      <c r="T106" s="5" t="inlineStr">
        <is>
          <t>https://en.wikipedia.org/w/index.php?search=Jon+M.+Chu</t>
        </is>
      </c>
      <c r="U106" s="5" t="inlineStr">
        <is>
          <t>https://www.imdb.com/find/?q=Jon+M.+Chu&amp;s=nm</t>
        </is>
      </c>
      <c r="AO106" s="19">
        <f>IFERROR(VLOOKUP(AN106,BUDGET_BANDS!$A$2:$C$9,2,FALSE),"")</f>
        <v/>
      </c>
      <c r="AP106" s="19">
        <f>IFERROR(VLOOKUP(AN106,BUDGET_BANDS!$A$2:$C$9,3,FALSE),"")</f>
        <v/>
      </c>
    </row>
    <row r="107">
      <c r="A107" s="5" t="inlineStr">
        <is>
          <t>Jonathan Goldstein</t>
        </is>
      </c>
      <c r="B107" s="5" t="inlineStr">
        <is>
          <t>T2</t>
        </is>
      </c>
      <c r="C107" s="5" t="inlineStr">
        <is>
          <t>Established</t>
        </is>
      </c>
      <c r="D107" s="5" t="inlineStr">
        <is>
          <t>US/UK</t>
        </is>
      </c>
      <c r="E107" s="5" t="inlineStr">
        <is>
          <t>Comedy</t>
        </is>
      </c>
      <c r="F107" s="5" t="inlineStr">
        <is>
          <t>Action-comedy,Drama</t>
        </is>
      </c>
      <c r="G107" s="5" t="inlineStr">
        <is>
          <t>Mid/Studio</t>
        </is>
      </c>
      <c r="H107" s="5" t="inlineStr">
        <is>
          <t>comedic, commercial</t>
        </is>
      </c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>
        <is>
          <t>Seeded</t>
        </is>
      </c>
      <c r="S107" s="5" t="inlineStr">
        <is>
          <t>2026-01-29</t>
        </is>
      </c>
      <c r="T107" s="5" t="inlineStr">
        <is>
          <t>https://en.wikipedia.org/w/index.php?search=Jonathan+Goldstein</t>
        </is>
      </c>
      <c r="U107" s="5" t="inlineStr">
        <is>
          <t>https://www.imdb.com/find/?q=Jonathan+Goldstein&amp;s=nm</t>
        </is>
      </c>
      <c r="AO107" s="19">
        <f>IFERROR(VLOOKUP(AN107,BUDGET_BANDS!$A$2:$C$9,2,FALSE),"")</f>
        <v/>
      </c>
      <c r="AP107" s="19">
        <f>IFERROR(VLOOKUP(AN107,BUDGET_BANDS!$A$2:$C$9,3,FALSE),"")</f>
        <v/>
      </c>
    </row>
    <row r="108">
      <c r="A108" s="5" t="inlineStr">
        <is>
          <t>José Padilha</t>
        </is>
      </c>
      <c r="B108" s="5" t="inlineStr">
        <is>
          <t>T2</t>
        </is>
      </c>
      <c r="C108" s="5" t="inlineStr">
        <is>
          <t>Established</t>
        </is>
      </c>
      <c r="D108" s="5" t="inlineStr">
        <is>
          <t>US/Intl</t>
        </is>
      </c>
      <c r="E108" s="5" t="inlineStr">
        <is>
          <t>Prestige drama</t>
        </is>
      </c>
      <c r="F108" s="5" t="inlineStr">
        <is>
          <t>Drama,Biopic,Historical/Epic</t>
        </is>
      </c>
      <c r="G108" s="5" t="inlineStr">
        <is>
          <t>Mid/Studio</t>
        </is>
      </c>
      <c r="H108" s="5" t="inlineStr">
        <is>
          <t>character-forward, cinematic</t>
        </is>
      </c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>
        <is>
          <t>Seeded</t>
        </is>
      </c>
      <c r="S108" s="5" t="inlineStr">
        <is>
          <t>2026-01-29</t>
        </is>
      </c>
      <c r="T108" s="5" t="inlineStr">
        <is>
          <t>https://en.wikipedia.org/w/index.php?search=Jos%C3%A9+Padilha</t>
        </is>
      </c>
      <c r="U108" s="5" t="inlineStr">
        <is>
          <t>https://www.imdb.com/find/?q=Jos%C3%A9+Padilha&amp;s=nm</t>
        </is>
      </c>
      <c r="AO108" s="19">
        <f>IFERROR(VLOOKUP(AN108,BUDGET_BANDS!$A$2:$C$9,2,FALSE),"")</f>
        <v/>
      </c>
      <c r="AP108" s="19">
        <f>IFERROR(VLOOKUP(AN108,BUDGET_BANDS!$A$2:$C$9,3,FALSE),"")</f>
        <v/>
      </c>
    </row>
    <row r="109">
      <c r="A109" s="5" t="inlineStr">
        <is>
          <t>Juan Antonio Bayona</t>
        </is>
      </c>
      <c r="B109" s="5" t="inlineStr">
        <is>
          <t>T2</t>
        </is>
      </c>
      <c r="C109" s="5" t="inlineStr">
        <is>
          <t>Established</t>
        </is>
      </c>
      <c r="D109" s="5" t="inlineStr">
        <is>
          <t>US/Intl</t>
        </is>
      </c>
      <c r="E109" s="5" t="inlineStr">
        <is>
          <t>Prestige drama</t>
        </is>
      </c>
      <c r="F109" s="5" t="inlineStr">
        <is>
          <t>Drama,Biopic,Historical/Epic</t>
        </is>
      </c>
      <c r="G109" s="5" t="inlineStr">
        <is>
          <t>Mid/Studio</t>
        </is>
      </c>
      <c r="H109" s="5" t="inlineStr">
        <is>
          <t>character-forward, cinematic</t>
        </is>
      </c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>
        <is>
          <t>Seeded</t>
        </is>
      </c>
      <c r="S109" s="5" t="inlineStr">
        <is>
          <t>2026-01-29</t>
        </is>
      </c>
      <c r="T109" s="5" t="inlineStr">
        <is>
          <t>https://en.wikipedia.org/w/index.php?search=Juan+Antonio+Bayona</t>
        </is>
      </c>
      <c r="U109" s="5" t="inlineStr">
        <is>
          <t>https://www.imdb.com/find/?q=Juan+Antonio+Bayona&amp;s=nm</t>
        </is>
      </c>
      <c r="AO109" s="19">
        <f>IFERROR(VLOOKUP(AN109,BUDGET_BANDS!$A$2:$C$9,2,FALSE),"")</f>
        <v/>
      </c>
      <c r="AP109" s="19">
        <f>IFERROR(VLOOKUP(AN109,BUDGET_BANDS!$A$2:$C$9,3,FALSE),"")</f>
        <v/>
      </c>
    </row>
    <row r="110">
      <c r="A110" s="5" t="inlineStr">
        <is>
          <t>Judd Apatow</t>
        </is>
      </c>
      <c r="B110" s="5" t="inlineStr">
        <is>
          <t>T2</t>
        </is>
      </c>
      <c r="C110" s="5" t="inlineStr">
        <is>
          <t>Established</t>
        </is>
      </c>
      <c r="D110" s="5" t="inlineStr">
        <is>
          <t>US/UK</t>
        </is>
      </c>
      <c r="E110" s="5" t="inlineStr">
        <is>
          <t>Comedy</t>
        </is>
      </c>
      <c r="F110" s="5" t="inlineStr">
        <is>
          <t>Action-comedy,Drama</t>
        </is>
      </c>
      <c r="G110" s="5" t="inlineStr">
        <is>
          <t>Mid/Studio</t>
        </is>
      </c>
      <c r="H110" s="5" t="inlineStr">
        <is>
          <t>comedic, commercial</t>
        </is>
      </c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>
        <is>
          <t>Seeded</t>
        </is>
      </c>
      <c r="S110" s="5" t="inlineStr">
        <is>
          <t>2026-01-29</t>
        </is>
      </c>
      <c r="T110" s="5" t="inlineStr">
        <is>
          <t>https://en.wikipedia.org/w/index.php?search=Judd+Apatow</t>
        </is>
      </c>
      <c r="U110" s="5" t="inlineStr">
        <is>
          <t>https://www.imdb.com/find/?q=Judd+Apatow&amp;s=nm</t>
        </is>
      </c>
      <c r="AO110" s="19">
        <f>IFERROR(VLOOKUP(AN110,BUDGET_BANDS!$A$2:$C$9,2,FALSE),"")</f>
        <v/>
      </c>
      <c r="AP110" s="19">
        <f>IFERROR(VLOOKUP(AN110,BUDGET_BANDS!$A$2:$C$9,3,FALSE),"")</f>
        <v/>
      </c>
    </row>
    <row r="111">
      <c r="A111" s="5" t="inlineStr">
        <is>
          <t>Justin Kurzel</t>
        </is>
      </c>
      <c r="B111" s="5" t="inlineStr">
        <is>
          <t>T2</t>
        </is>
      </c>
      <c r="C111" s="5" t="inlineStr">
        <is>
          <t>Established</t>
        </is>
      </c>
      <c r="D111" s="5" t="inlineStr">
        <is>
          <t>US/Intl</t>
        </is>
      </c>
      <c r="E111" s="5" t="inlineStr">
        <is>
          <t>Action</t>
        </is>
      </c>
      <c r="F111" s="5" t="inlineStr">
        <is>
          <t>Thriller/Mystery,Crime/Heist</t>
        </is>
      </c>
      <c r="G111" s="5" t="inlineStr">
        <is>
          <t>Studio/Mid</t>
        </is>
      </c>
      <c r="H111" s="5" t="inlineStr">
        <is>
          <t>propulsive, commercial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>
        <is>
          <t>Seeded</t>
        </is>
      </c>
      <c r="S111" s="5" t="inlineStr">
        <is>
          <t>2026-01-29</t>
        </is>
      </c>
      <c r="T111" s="5" t="inlineStr">
        <is>
          <t>https://en.wikipedia.org/w/index.php?search=Justin+Kurzel</t>
        </is>
      </c>
      <c r="U111" s="5" t="inlineStr">
        <is>
          <t>https://www.imdb.com/find/?q=Justin+Kurzel&amp;s=nm</t>
        </is>
      </c>
      <c r="AO111" s="19">
        <f>IFERROR(VLOOKUP(AN111,BUDGET_BANDS!$A$2:$C$9,2,FALSE),"")</f>
        <v/>
      </c>
      <c r="AP111" s="19">
        <f>IFERROR(VLOOKUP(AN111,BUDGET_BANDS!$A$2:$C$9,3,FALSE),"")</f>
        <v/>
      </c>
    </row>
    <row r="112">
      <c r="A112" s="5" t="inlineStr">
        <is>
          <t>Kasi Lemmons</t>
        </is>
      </c>
      <c r="B112" s="5" t="inlineStr">
        <is>
          <t>T2</t>
        </is>
      </c>
      <c r="C112" s="5" t="inlineStr">
        <is>
          <t>Established</t>
        </is>
      </c>
      <c r="D112" s="5" t="inlineStr">
        <is>
          <t>US/Intl</t>
        </is>
      </c>
      <c r="E112" s="5" t="inlineStr">
        <is>
          <t>Prestige drama</t>
        </is>
      </c>
      <c r="F112" s="5" t="inlineStr">
        <is>
          <t>Drama,Biopic,Historical/Epic</t>
        </is>
      </c>
      <c r="G112" s="5" t="inlineStr">
        <is>
          <t>Mid/Studio</t>
        </is>
      </c>
      <c r="H112" s="5" t="inlineStr">
        <is>
          <t>character-forward, cinematic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>
        <is>
          <t>Seeded</t>
        </is>
      </c>
      <c r="S112" s="5" t="inlineStr">
        <is>
          <t>2026-01-29</t>
        </is>
      </c>
      <c r="T112" s="5" t="inlineStr">
        <is>
          <t>https://en.wikipedia.org/w/index.php?search=Kasi+Lemmons</t>
        </is>
      </c>
      <c r="U112" s="5" t="inlineStr">
        <is>
          <t>https://www.imdb.com/find/?q=Kasi+Lemmons&amp;s=nm</t>
        </is>
      </c>
      <c r="AO112" s="19">
        <f>IFERROR(VLOOKUP(AN112,BUDGET_BANDS!$A$2:$C$9,2,FALSE),"")</f>
        <v/>
      </c>
      <c r="AP112" s="19">
        <f>IFERROR(VLOOKUP(AN112,BUDGET_BANDS!$A$2:$C$9,3,FALSE),"")</f>
        <v/>
      </c>
    </row>
    <row r="113">
      <c r="A113" s="5" t="inlineStr">
        <is>
          <t>Kathryn Bigelow</t>
        </is>
      </c>
      <c r="B113" s="5" t="inlineStr">
        <is>
          <t>T2</t>
        </is>
      </c>
      <c r="C113" s="5" t="inlineStr">
        <is>
          <t>Established</t>
        </is>
      </c>
      <c r="D113" s="5" t="inlineStr">
        <is>
          <t>US/Intl</t>
        </is>
      </c>
      <c r="E113" s="5" t="inlineStr">
        <is>
          <t>Action</t>
        </is>
      </c>
      <c r="F113" s="5" t="inlineStr">
        <is>
          <t>Thriller/Mystery,Crime/Heist</t>
        </is>
      </c>
      <c r="G113" s="5" t="inlineStr">
        <is>
          <t>Studio/Mid</t>
        </is>
      </c>
      <c r="H113" s="5" t="inlineStr">
        <is>
          <t>propulsive, commercial</t>
        </is>
      </c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>
        <is>
          <t>Seeded</t>
        </is>
      </c>
      <c r="S113" s="5" t="inlineStr">
        <is>
          <t>2026-01-29</t>
        </is>
      </c>
      <c r="T113" s="5" t="inlineStr">
        <is>
          <t>https://en.wikipedia.org/w/index.php?search=Kathryn+Bigelow</t>
        </is>
      </c>
      <c r="U113" s="5" t="inlineStr">
        <is>
          <t>https://www.imdb.com/find/?q=Kathryn+Bigelow&amp;s=nm</t>
        </is>
      </c>
      <c r="AO113" s="19">
        <f>IFERROR(VLOOKUP(AN113,BUDGET_BANDS!$A$2:$C$9,2,FALSE),"")</f>
        <v/>
      </c>
      <c r="AP113" s="19">
        <f>IFERROR(VLOOKUP(AN113,BUDGET_BANDS!$A$2:$C$9,3,FALSE),"")</f>
        <v/>
      </c>
    </row>
    <row r="114">
      <c r="A114" s="5" t="inlineStr">
        <is>
          <t>Kiyoshi Kurosawa</t>
        </is>
      </c>
      <c r="B114" s="5" t="inlineStr">
        <is>
          <t>T2</t>
        </is>
      </c>
      <c r="C114" s="5" t="inlineStr">
        <is>
          <t>Established</t>
        </is>
      </c>
      <c r="D114" s="5" t="inlineStr">
        <is>
          <t>US/Intl</t>
        </is>
      </c>
      <c r="E114" s="5" t="inlineStr">
        <is>
          <t>Horror</t>
        </is>
      </c>
      <c r="F114" s="5" t="inlineStr">
        <is>
          <t>Thriller/Mystery</t>
        </is>
      </c>
      <c r="G114" s="5" t="inlineStr">
        <is>
          <t>Low/Mid/Studio</t>
        </is>
      </c>
      <c r="H114" s="5" t="inlineStr">
        <is>
          <t>tense, atmospheric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>
        <is>
          <t>Seeded</t>
        </is>
      </c>
      <c r="S114" s="5" t="inlineStr">
        <is>
          <t>2026-01-29</t>
        </is>
      </c>
      <c r="T114" s="5" t="inlineStr">
        <is>
          <t>https://en.wikipedia.org/w/index.php?search=Kiyoshi+Kurosawa</t>
        </is>
      </c>
      <c r="U114" s="5" t="inlineStr">
        <is>
          <t>https://www.imdb.com/find/?q=Kiyoshi+Kurosawa&amp;s=nm</t>
        </is>
      </c>
      <c r="AO114" s="19">
        <f>IFERROR(VLOOKUP(AN114,BUDGET_BANDS!$A$2:$C$9,2,FALSE),"")</f>
        <v/>
      </c>
      <c r="AP114" s="19">
        <f>IFERROR(VLOOKUP(AN114,BUDGET_BANDS!$A$2:$C$9,3,FALSE),"")</f>
        <v/>
      </c>
    </row>
    <row r="115">
      <c r="A115" s="5" t="inlineStr">
        <is>
          <t>Lee Daniels</t>
        </is>
      </c>
      <c r="B115" s="5" t="inlineStr">
        <is>
          <t>T2</t>
        </is>
      </c>
      <c r="C115" s="5" t="inlineStr">
        <is>
          <t>Established</t>
        </is>
      </c>
      <c r="D115" s="5" t="inlineStr">
        <is>
          <t>US/Intl</t>
        </is>
      </c>
      <c r="E115" s="5" t="inlineStr">
        <is>
          <t>Prestige drama</t>
        </is>
      </c>
      <c r="F115" s="5" t="inlineStr">
        <is>
          <t>Drama,Biopic,Historical/Epic</t>
        </is>
      </c>
      <c r="G115" s="5" t="inlineStr">
        <is>
          <t>Mid/Studio</t>
        </is>
      </c>
      <c r="H115" s="5" t="inlineStr">
        <is>
          <t>character-forward, cinematic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>
        <is>
          <t>Seeded</t>
        </is>
      </c>
      <c r="S115" s="5" t="inlineStr">
        <is>
          <t>2026-01-29</t>
        </is>
      </c>
      <c r="T115" s="5" t="inlineStr">
        <is>
          <t>https://en.wikipedia.org/w/index.php?search=Lee+Daniels</t>
        </is>
      </c>
      <c r="U115" s="5" t="inlineStr">
        <is>
          <t>https://www.imdb.com/find/?q=Lee+Daniels&amp;s=nm</t>
        </is>
      </c>
      <c r="AO115" s="19">
        <f>IFERROR(VLOOKUP(AN115,BUDGET_BANDS!$A$2:$C$9,2,FALSE),"")</f>
        <v/>
      </c>
      <c r="AP115" s="19">
        <f>IFERROR(VLOOKUP(AN115,BUDGET_BANDS!$A$2:$C$9,3,FALSE),"")</f>
        <v/>
      </c>
    </row>
    <row r="116">
      <c r="A116" s="5" t="inlineStr">
        <is>
          <t>Leigh Whannell</t>
        </is>
      </c>
      <c r="B116" s="5" t="inlineStr">
        <is>
          <t>T2</t>
        </is>
      </c>
      <c r="C116" s="5" t="inlineStr">
        <is>
          <t>Established</t>
        </is>
      </c>
      <c r="D116" s="5" t="inlineStr">
        <is>
          <t>US/Intl</t>
        </is>
      </c>
      <c r="E116" s="5" t="inlineStr">
        <is>
          <t>Horror</t>
        </is>
      </c>
      <c r="F116" s="5" t="inlineStr">
        <is>
          <t>Thriller/Mystery</t>
        </is>
      </c>
      <c r="G116" s="5" t="inlineStr">
        <is>
          <t>Low/Mid/Studio</t>
        </is>
      </c>
      <c r="H116" s="5" t="inlineStr">
        <is>
          <t>tense, atmospheric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>
        <is>
          <t>Seeded</t>
        </is>
      </c>
      <c r="S116" s="5" t="inlineStr">
        <is>
          <t>2026-01-29</t>
        </is>
      </c>
      <c r="T116" s="5" t="inlineStr">
        <is>
          <t>https://en.wikipedia.org/w/index.php?search=Leigh+Whannell</t>
        </is>
      </c>
      <c r="U116" s="5" t="inlineStr">
        <is>
          <t>https://www.imdb.com/find/?q=Leigh+Whannell&amp;s=nm</t>
        </is>
      </c>
      <c r="AO116" s="19">
        <f>IFERROR(VLOOKUP(AN116,BUDGET_BANDS!$A$2:$C$9,2,FALSE),"")</f>
        <v/>
      </c>
      <c r="AP116" s="19">
        <f>IFERROR(VLOOKUP(AN116,BUDGET_BANDS!$A$2:$C$9,3,FALSE),"")</f>
        <v/>
      </c>
    </row>
    <row r="117">
      <c r="A117" s="5" t="inlineStr">
        <is>
          <t>Luca Guadagnino</t>
        </is>
      </c>
      <c r="B117" s="5" t="inlineStr">
        <is>
          <t>T2</t>
        </is>
      </c>
      <c r="C117" s="5" t="inlineStr">
        <is>
          <t>Established</t>
        </is>
      </c>
      <c r="D117" s="5" t="inlineStr">
        <is>
          <t>US/Intl</t>
        </is>
      </c>
      <c r="E117" s="5" t="inlineStr">
        <is>
          <t>Prestige drama</t>
        </is>
      </c>
      <c r="F117" s="5" t="inlineStr">
        <is>
          <t>Drama,Biopic,Historical/Epic</t>
        </is>
      </c>
      <c r="G117" s="5" t="inlineStr">
        <is>
          <t>Mid/Studio</t>
        </is>
      </c>
      <c r="H117" s="5" t="inlineStr">
        <is>
          <t>character-forward, cinematic</t>
        </is>
      </c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>
        <is>
          <t>Seeded</t>
        </is>
      </c>
      <c r="S117" s="5" t="inlineStr">
        <is>
          <t>2026-01-29</t>
        </is>
      </c>
      <c r="T117" s="5" t="inlineStr">
        <is>
          <t>https://en.wikipedia.org/w/index.php?search=Luca+Guadagnino</t>
        </is>
      </c>
      <c r="U117" s="5" t="inlineStr">
        <is>
          <t>https://www.imdb.com/find/?q=Luca+Guadagnino&amp;s=nm</t>
        </is>
      </c>
      <c r="AO117" s="19">
        <f>IFERROR(VLOOKUP(AN117,BUDGET_BANDS!$A$2:$C$9,2,FALSE),"")</f>
        <v/>
      </c>
      <c r="AP117" s="19">
        <f>IFERROR(VLOOKUP(AN117,BUDGET_BANDS!$A$2:$C$9,3,FALSE),"")</f>
        <v/>
      </c>
    </row>
    <row r="118">
      <c r="A118" s="5" t="inlineStr">
        <is>
          <t>Makoto Shinkai</t>
        </is>
      </c>
      <c r="B118" s="5" t="inlineStr">
        <is>
          <t>T2</t>
        </is>
      </c>
      <c r="C118" s="5" t="inlineStr">
        <is>
          <t>Established</t>
        </is>
      </c>
      <c r="D118" s="5" t="inlineStr">
        <is>
          <t>US/Intl</t>
        </is>
      </c>
      <c r="E118" s="5" t="inlineStr">
        <is>
          <t>Animation</t>
        </is>
      </c>
      <c r="F118" s="5" t="inlineStr">
        <is>
          <t>Family,Fantasy</t>
        </is>
      </c>
      <c r="G118" s="5" t="inlineStr">
        <is>
          <t>Studio</t>
        </is>
      </c>
      <c r="H118" s="5" t="inlineStr">
        <is>
          <t>animated, family</t>
        </is>
      </c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>
        <is>
          <t>Seeded</t>
        </is>
      </c>
      <c r="S118" s="5" t="inlineStr">
        <is>
          <t>2026-01-29</t>
        </is>
      </c>
      <c r="T118" s="5" t="inlineStr">
        <is>
          <t>https://en.wikipedia.org/w/index.php?search=Makoto+Shinkai</t>
        </is>
      </c>
      <c r="U118" s="5" t="inlineStr">
        <is>
          <t>https://www.imdb.com/find/?q=Makoto+Shinkai&amp;s=nm</t>
        </is>
      </c>
      <c r="AO118" s="19">
        <f>IFERROR(VLOOKUP(AN118,BUDGET_BANDS!$A$2:$C$9,2,FALSE),"")</f>
        <v/>
      </c>
      <c r="AP118" s="19">
        <f>IFERROR(VLOOKUP(AN118,BUDGET_BANDS!$A$2:$C$9,3,FALSE),"")</f>
        <v/>
      </c>
    </row>
    <row r="119">
      <c r="A119" s="5" t="inlineStr">
        <is>
          <t>Mamoru Hosoda</t>
        </is>
      </c>
      <c r="B119" s="5" t="inlineStr">
        <is>
          <t>T2</t>
        </is>
      </c>
      <c r="C119" s="5" t="inlineStr">
        <is>
          <t>Established</t>
        </is>
      </c>
      <c r="D119" s="5" t="inlineStr">
        <is>
          <t>US/Intl</t>
        </is>
      </c>
      <c r="E119" s="5" t="inlineStr">
        <is>
          <t>Animation</t>
        </is>
      </c>
      <c r="F119" s="5" t="inlineStr">
        <is>
          <t>Family,Fantasy</t>
        </is>
      </c>
      <c r="G119" s="5" t="inlineStr">
        <is>
          <t>Studio</t>
        </is>
      </c>
      <c r="H119" s="5" t="inlineStr">
        <is>
          <t>animated, family</t>
        </is>
      </c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>
        <is>
          <t>Seeded</t>
        </is>
      </c>
      <c r="S119" s="5" t="inlineStr">
        <is>
          <t>2026-01-29</t>
        </is>
      </c>
      <c r="T119" s="5" t="inlineStr">
        <is>
          <t>https://en.wikipedia.org/w/index.php?search=Mamoru+Hosoda</t>
        </is>
      </c>
      <c r="U119" s="5" t="inlineStr">
        <is>
          <t>https://www.imdb.com/find/?q=Mamoru+Hosoda&amp;s=nm</t>
        </is>
      </c>
      <c r="AO119" s="19">
        <f>IFERROR(VLOOKUP(AN119,BUDGET_BANDS!$A$2:$C$9,2,FALSE),"")</f>
        <v/>
      </c>
      <c r="AP119" s="19">
        <f>IFERROR(VLOOKUP(AN119,BUDGET_BANDS!$A$2:$C$9,3,FALSE),"")</f>
        <v/>
      </c>
    </row>
    <row r="120">
      <c r="A120" s="5" t="inlineStr">
        <is>
          <t>Marc Forster</t>
        </is>
      </c>
      <c r="B120" s="5" t="inlineStr">
        <is>
          <t>T2</t>
        </is>
      </c>
      <c r="C120" s="5" t="inlineStr">
        <is>
          <t>Established</t>
        </is>
      </c>
      <c r="D120" s="5" t="inlineStr">
        <is>
          <t>US/Intl</t>
        </is>
      </c>
      <c r="E120" s="5" t="inlineStr">
        <is>
          <t>Action</t>
        </is>
      </c>
      <c r="F120" s="5" t="inlineStr">
        <is>
          <t>Thriller/Mystery,Crime/Heist</t>
        </is>
      </c>
      <c r="G120" s="5" t="inlineStr">
        <is>
          <t>Studio/Mid</t>
        </is>
      </c>
      <c r="H120" s="5" t="inlineStr">
        <is>
          <t>propulsive, commercial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>
        <is>
          <t>Seeded</t>
        </is>
      </c>
      <c r="S120" s="5" t="inlineStr">
        <is>
          <t>2026-01-29</t>
        </is>
      </c>
      <c r="T120" s="5" t="inlineStr">
        <is>
          <t>https://en.wikipedia.org/w/index.php?search=Marc+Forster</t>
        </is>
      </c>
      <c r="U120" s="5" t="inlineStr">
        <is>
          <t>https://www.imdb.com/find/?q=Marc+Forster&amp;s=nm</t>
        </is>
      </c>
      <c r="AO120" s="19">
        <f>IFERROR(VLOOKUP(AN120,BUDGET_BANDS!$A$2:$C$9,2,FALSE),"")</f>
        <v/>
      </c>
      <c r="AP120" s="19">
        <f>IFERROR(VLOOKUP(AN120,BUDGET_BANDS!$A$2:$C$9,3,FALSE),"")</f>
        <v/>
      </c>
    </row>
    <row r="121">
      <c r="A121" s="5" t="inlineStr">
        <is>
          <t>Marc Webb</t>
        </is>
      </c>
      <c r="B121" s="5" t="inlineStr">
        <is>
          <t>T2</t>
        </is>
      </c>
      <c r="C121" s="5" t="inlineStr">
        <is>
          <t>Established</t>
        </is>
      </c>
      <c r="D121" s="5" t="inlineStr">
        <is>
          <t>US/Intl</t>
        </is>
      </c>
      <c r="E121" s="5" t="inlineStr">
        <is>
          <t>Family</t>
        </is>
      </c>
      <c r="F121" s="5" t="inlineStr">
        <is>
          <t>Fantasy,Adventure,Animation</t>
        </is>
      </c>
      <c r="G121" s="5" t="inlineStr">
        <is>
          <t>Studio/Tentpole</t>
        </is>
      </c>
      <c r="H121" s="5" t="inlineStr">
        <is>
          <t>accessible, emotional</t>
        </is>
      </c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>
        <is>
          <t>Seeded</t>
        </is>
      </c>
      <c r="S121" s="5" t="inlineStr">
        <is>
          <t>2026-01-29</t>
        </is>
      </c>
      <c r="T121" s="5" t="inlineStr">
        <is>
          <t>https://en.wikipedia.org/w/index.php?search=Marc+Webb</t>
        </is>
      </c>
      <c r="U121" s="5" t="inlineStr">
        <is>
          <t>https://www.imdb.com/find/?q=Marc+Webb&amp;s=nm</t>
        </is>
      </c>
      <c r="AO121" s="19">
        <f>IFERROR(VLOOKUP(AN121,BUDGET_BANDS!$A$2:$C$9,2,FALSE),"")</f>
        <v/>
      </c>
      <c r="AP121" s="19">
        <f>IFERROR(VLOOKUP(AN121,BUDGET_BANDS!$A$2:$C$9,3,FALSE),"")</f>
        <v/>
      </c>
    </row>
    <row r="122">
      <c r="A122" s="5" t="inlineStr">
        <is>
          <t>Marielle Heller</t>
        </is>
      </c>
      <c r="B122" s="5" t="inlineStr">
        <is>
          <t>T2</t>
        </is>
      </c>
      <c r="C122" s="5" t="inlineStr">
        <is>
          <t>Established</t>
        </is>
      </c>
      <c r="D122" s="5" t="inlineStr">
        <is>
          <t>US/Intl</t>
        </is>
      </c>
      <c r="E122" s="5" t="inlineStr">
        <is>
          <t>Prestige drama</t>
        </is>
      </c>
      <c r="F122" s="5" t="inlineStr">
        <is>
          <t>Drama,Biopic,Historical/Epic</t>
        </is>
      </c>
      <c r="G122" s="5" t="inlineStr">
        <is>
          <t>Mid/Studio</t>
        </is>
      </c>
      <c r="H122" s="5" t="inlineStr">
        <is>
          <t>character-forward, cinematic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>
        <is>
          <t>Seeded</t>
        </is>
      </c>
      <c r="S122" s="5" t="inlineStr">
        <is>
          <t>2026-01-29</t>
        </is>
      </c>
      <c r="T122" s="5" t="inlineStr">
        <is>
          <t>https://en.wikipedia.org/w/index.php?search=Marielle+Heller</t>
        </is>
      </c>
      <c r="U122" s="5" t="inlineStr">
        <is>
          <t>https://www.imdb.com/find/?q=Marielle+Heller&amp;s=nm</t>
        </is>
      </c>
      <c r="AO122" s="19">
        <f>IFERROR(VLOOKUP(AN122,BUDGET_BANDS!$A$2:$C$9,2,FALSE),"")</f>
        <v/>
      </c>
      <c r="AP122" s="19">
        <f>IFERROR(VLOOKUP(AN122,BUDGET_BANDS!$A$2:$C$9,3,FALSE),"")</f>
        <v/>
      </c>
    </row>
    <row r="123">
      <c r="A123" s="5" t="inlineStr">
        <is>
          <t>Matthew Vaughn</t>
        </is>
      </c>
      <c r="B123" s="5" t="inlineStr">
        <is>
          <t>T2</t>
        </is>
      </c>
      <c r="C123" s="5" t="inlineStr">
        <is>
          <t>Established</t>
        </is>
      </c>
      <c r="D123" s="5" t="inlineStr">
        <is>
          <t>US/Intl</t>
        </is>
      </c>
      <c r="E123" s="5" t="inlineStr">
        <is>
          <t>Action</t>
        </is>
      </c>
      <c r="F123" s="5" t="inlineStr">
        <is>
          <t>Thriller/Mystery,Crime/Heist</t>
        </is>
      </c>
      <c r="G123" s="5" t="inlineStr">
        <is>
          <t>Studio/Mid</t>
        </is>
      </c>
      <c r="H123" s="5" t="inlineStr">
        <is>
          <t>propulsive, commercial</t>
        </is>
      </c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>
        <is>
          <t>Seeded</t>
        </is>
      </c>
      <c r="S123" s="5" t="inlineStr">
        <is>
          <t>2026-01-29</t>
        </is>
      </c>
      <c r="T123" s="5" t="inlineStr">
        <is>
          <t>https://en.wikipedia.org/w/index.php?search=Matthew+Vaughn</t>
        </is>
      </c>
      <c r="U123" s="5" t="inlineStr">
        <is>
          <t>https://www.imdb.com/find/?q=Matthew+Vaughn&amp;s=nm</t>
        </is>
      </c>
      <c r="AO123" s="19">
        <f>IFERROR(VLOOKUP(AN123,BUDGET_BANDS!$A$2:$C$9,2,FALSE),"")</f>
        <v/>
      </c>
      <c r="AP123" s="19">
        <f>IFERROR(VLOOKUP(AN123,BUDGET_BANDS!$A$2:$C$9,3,FALSE),"")</f>
        <v/>
      </c>
    </row>
    <row r="124">
      <c r="A124" s="5" t="inlineStr">
        <is>
          <t>Michael Bay</t>
        </is>
      </c>
      <c r="B124" s="5" t="inlineStr">
        <is>
          <t>T2</t>
        </is>
      </c>
      <c r="C124" s="5" t="inlineStr">
        <is>
          <t>Established</t>
        </is>
      </c>
      <c r="D124" s="5" t="inlineStr">
        <is>
          <t>US/Intl</t>
        </is>
      </c>
      <c r="E124" s="5" t="inlineStr">
        <is>
          <t>Action</t>
        </is>
      </c>
      <c r="F124" s="5" t="inlineStr">
        <is>
          <t>Thriller/Mystery,Crime/Heist</t>
        </is>
      </c>
      <c r="G124" s="5" t="inlineStr">
        <is>
          <t>Studio/Mid</t>
        </is>
      </c>
      <c r="H124" s="5" t="inlineStr">
        <is>
          <t>propulsive, commercial</t>
        </is>
      </c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>
        <is>
          <t>Seeded</t>
        </is>
      </c>
      <c r="S124" s="5" t="inlineStr">
        <is>
          <t>2026-01-29</t>
        </is>
      </c>
      <c r="T124" s="5" t="inlineStr">
        <is>
          <t>https://en.wikipedia.org/w/index.php?search=Michael+Bay</t>
        </is>
      </c>
      <c r="U124" s="5" t="inlineStr">
        <is>
          <t>https://www.imdb.com/find/?q=Michael+Bay&amp;s=nm</t>
        </is>
      </c>
      <c r="AO124" s="19">
        <f>IFERROR(VLOOKUP(AN124,BUDGET_BANDS!$A$2:$C$9,2,FALSE),"")</f>
        <v/>
      </c>
      <c r="AP124" s="19">
        <f>IFERROR(VLOOKUP(AN124,BUDGET_BANDS!$A$2:$C$9,3,FALSE),"")</f>
        <v/>
      </c>
    </row>
    <row r="125">
      <c r="A125" s="5" t="inlineStr">
        <is>
          <t>Michael Mann</t>
        </is>
      </c>
      <c r="B125" s="5" t="inlineStr">
        <is>
          <t>T2</t>
        </is>
      </c>
      <c r="C125" s="5" t="inlineStr">
        <is>
          <t>Established</t>
        </is>
      </c>
      <c r="D125" s="5" t="inlineStr">
        <is>
          <t>US/Intl</t>
        </is>
      </c>
      <c r="E125" s="5" t="inlineStr">
        <is>
          <t>Action</t>
        </is>
      </c>
      <c r="F125" s="5" t="inlineStr">
        <is>
          <t>Thriller/Mystery,Crime/Heist</t>
        </is>
      </c>
      <c r="G125" s="5" t="inlineStr">
        <is>
          <t>Studio/Mid</t>
        </is>
      </c>
      <c r="H125" s="5" t="inlineStr">
        <is>
          <t>propulsive, commercial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>
        <is>
          <t>Seeded</t>
        </is>
      </c>
      <c r="S125" s="5" t="inlineStr">
        <is>
          <t>2026-01-29</t>
        </is>
      </c>
      <c r="T125" s="5" t="inlineStr">
        <is>
          <t>https://en.wikipedia.org/w/index.php?search=Michael+Mann</t>
        </is>
      </c>
      <c r="U125" s="5" t="inlineStr">
        <is>
          <t>https://www.imdb.com/find/?q=Michael+Mann&amp;s=nm</t>
        </is>
      </c>
      <c r="AO125" s="19">
        <f>IFERROR(VLOOKUP(AN125,BUDGET_BANDS!$A$2:$C$9,2,FALSE),"")</f>
        <v/>
      </c>
      <c r="AP125" s="19">
        <f>IFERROR(VLOOKUP(AN125,BUDGET_BANDS!$A$2:$C$9,3,FALSE),"")</f>
        <v/>
      </c>
    </row>
    <row r="126">
      <c r="A126" s="5" t="inlineStr">
        <is>
          <t>Mike Dougherty</t>
        </is>
      </c>
      <c r="B126" s="5" t="inlineStr">
        <is>
          <t>T2</t>
        </is>
      </c>
      <c r="C126" s="5" t="inlineStr">
        <is>
          <t>Established</t>
        </is>
      </c>
      <c r="D126" s="5" t="inlineStr">
        <is>
          <t>US/Intl</t>
        </is>
      </c>
      <c r="E126" s="5" t="inlineStr">
        <is>
          <t>Horror</t>
        </is>
      </c>
      <c r="F126" s="5" t="inlineStr">
        <is>
          <t>Thriller/Mystery</t>
        </is>
      </c>
      <c r="G126" s="5" t="inlineStr">
        <is>
          <t>Low/Mid/Studio</t>
        </is>
      </c>
      <c r="H126" s="5" t="inlineStr">
        <is>
          <t>tense, atmospheric</t>
        </is>
      </c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>
        <is>
          <t>Seeded</t>
        </is>
      </c>
      <c r="S126" s="5" t="inlineStr">
        <is>
          <t>2026-01-29</t>
        </is>
      </c>
      <c r="T126" s="5" t="inlineStr">
        <is>
          <t>https://en.wikipedia.org/w/index.php?search=Mike+Dougherty</t>
        </is>
      </c>
      <c r="U126" s="5" t="inlineStr">
        <is>
          <t>https://www.imdb.com/find/?q=Mike+Dougherty&amp;s=nm</t>
        </is>
      </c>
      <c r="AO126" s="19">
        <f>IFERROR(VLOOKUP(AN126,BUDGET_BANDS!$A$2:$C$9,2,FALSE),"")</f>
        <v/>
      </c>
      <c r="AP126" s="19">
        <f>IFERROR(VLOOKUP(AN126,BUDGET_BANDS!$A$2:$C$9,3,FALSE),"")</f>
        <v/>
      </c>
    </row>
    <row r="127">
      <c r="A127" s="5" t="inlineStr">
        <is>
          <t>Mike Flanagan</t>
        </is>
      </c>
      <c r="B127" s="5" t="inlineStr">
        <is>
          <t>T2</t>
        </is>
      </c>
      <c r="C127" s="5" t="inlineStr">
        <is>
          <t>Established</t>
        </is>
      </c>
      <c r="D127" s="5" t="inlineStr">
        <is>
          <t>US/Intl</t>
        </is>
      </c>
      <c r="E127" s="5" t="inlineStr">
        <is>
          <t>Horror</t>
        </is>
      </c>
      <c r="F127" s="5" t="inlineStr">
        <is>
          <t>Thriller/Mystery</t>
        </is>
      </c>
      <c r="G127" s="5" t="inlineStr">
        <is>
          <t>Low/Mid/Studio</t>
        </is>
      </c>
      <c r="H127" s="5" t="inlineStr">
        <is>
          <t>tense, atmospheric</t>
        </is>
      </c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>
        <is>
          <t>Seeded</t>
        </is>
      </c>
      <c r="S127" s="5" t="inlineStr">
        <is>
          <t>2026-01-29</t>
        </is>
      </c>
      <c r="T127" s="5" t="inlineStr">
        <is>
          <t>https://en.wikipedia.org/w/index.php?search=Mike+Flanagan</t>
        </is>
      </c>
      <c r="U127" s="5" t="inlineStr">
        <is>
          <t>https://www.imdb.com/find/?q=Mike+Flanagan&amp;s=nm</t>
        </is>
      </c>
      <c r="AO127" s="19">
        <f>IFERROR(VLOOKUP(AN127,BUDGET_BANDS!$A$2:$C$9,2,FALSE),"")</f>
        <v/>
      </c>
      <c r="AP127" s="19">
        <f>IFERROR(VLOOKUP(AN127,BUDGET_BANDS!$A$2:$C$9,3,FALSE),"")</f>
        <v/>
      </c>
    </row>
    <row r="128">
      <c r="A128" s="5" t="inlineStr">
        <is>
          <t>Mike Mills</t>
        </is>
      </c>
      <c r="B128" s="5" t="inlineStr">
        <is>
          <t>T2</t>
        </is>
      </c>
      <c r="C128" s="5" t="inlineStr">
        <is>
          <t>Established</t>
        </is>
      </c>
      <c r="D128" s="5" t="inlineStr">
        <is>
          <t>US/Intl</t>
        </is>
      </c>
      <c r="E128" s="5" t="inlineStr">
        <is>
          <t>Prestige drama</t>
        </is>
      </c>
      <c r="F128" s="5" t="inlineStr">
        <is>
          <t>Drama,Biopic,Historical/Epic</t>
        </is>
      </c>
      <c r="G128" s="5" t="inlineStr">
        <is>
          <t>Mid/Studio</t>
        </is>
      </c>
      <c r="H128" s="5" t="inlineStr">
        <is>
          <t>character-forward, cinematic</t>
        </is>
      </c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>
        <is>
          <t>Seeded</t>
        </is>
      </c>
      <c r="S128" s="5" t="inlineStr">
        <is>
          <t>2026-01-29</t>
        </is>
      </c>
      <c r="T128" s="5" t="inlineStr">
        <is>
          <t>https://en.wikipedia.org/w/index.php?search=Mike+Mills</t>
        </is>
      </c>
      <c r="U128" s="5" t="inlineStr">
        <is>
          <t>https://www.imdb.com/find/?q=Mike+Mills&amp;s=nm</t>
        </is>
      </c>
      <c r="AO128" s="19">
        <f>IFERROR(VLOOKUP(AN128,BUDGET_BANDS!$A$2:$C$9,2,FALSE),"")</f>
        <v/>
      </c>
      <c r="AP128" s="19">
        <f>IFERROR(VLOOKUP(AN128,BUDGET_BANDS!$A$2:$C$9,3,FALSE),"")</f>
        <v/>
      </c>
    </row>
    <row r="129">
      <c r="A129" s="5" t="inlineStr">
        <is>
          <t>Morten Tyldum</t>
        </is>
      </c>
      <c r="B129" s="5" t="inlineStr">
        <is>
          <t>T2</t>
        </is>
      </c>
      <c r="C129" s="5" t="inlineStr">
        <is>
          <t>Established</t>
        </is>
      </c>
      <c r="D129" s="5" t="inlineStr">
        <is>
          <t>US/Intl</t>
        </is>
      </c>
      <c r="E129" s="5" t="inlineStr">
        <is>
          <t>Action</t>
        </is>
      </c>
      <c r="F129" s="5" t="inlineStr">
        <is>
          <t>Thriller/Mystery,Crime/Heist</t>
        </is>
      </c>
      <c r="G129" s="5" t="inlineStr">
        <is>
          <t>Studio/Mid</t>
        </is>
      </c>
      <c r="H129" s="5" t="inlineStr">
        <is>
          <t>propulsive, commercial</t>
        </is>
      </c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>
        <is>
          <t>Seeded</t>
        </is>
      </c>
      <c r="S129" s="5" t="inlineStr">
        <is>
          <t>2026-01-29</t>
        </is>
      </c>
      <c r="T129" s="5" t="inlineStr">
        <is>
          <t>https://en.wikipedia.org/w/index.php?search=Morten+Tyldum</t>
        </is>
      </c>
      <c r="U129" s="5" t="inlineStr">
        <is>
          <t>https://www.imdb.com/find/?q=Morten+Tyldum&amp;s=nm</t>
        </is>
      </c>
      <c r="AO129" s="19">
        <f>IFERROR(VLOOKUP(AN129,BUDGET_BANDS!$A$2:$C$9,2,FALSE),"")</f>
        <v/>
      </c>
      <c r="AP129" s="19">
        <f>IFERROR(VLOOKUP(AN129,BUDGET_BANDS!$A$2:$C$9,3,FALSE),"")</f>
        <v/>
      </c>
    </row>
    <row r="130">
      <c r="A130" s="5" t="inlineStr">
        <is>
          <t>Neil Burger</t>
        </is>
      </c>
      <c r="B130" s="5" t="inlineStr">
        <is>
          <t>T2</t>
        </is>
      </c>
      <c r="C130" s="5" t="inlineStr">
        <is>
          <t>Established</t>
        </is>
      </c>
      <c r="D130" s="5" t="inlineStr">
        <is>
          <t>US/Intl</t>
        </is>
      </c>
      <c r="E130" s="5" t="inlineStr">
        <is>
          <t>Action</t>
        </is>
      </c>
      <c r="F130" s="5" t="inlineStr">
        <is>
          <t>Thriller/Mystery,Crime/Heist</t>
        </is>
      </c>
      <c r="G130" s="5" t="inlineStr">
        <is>
          <t>Studio/Mid</t>
        </is>
      </c>
      <c r="H130" s="5" t="inlineStr">
        <is>
          <t>propulsive, commercial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>
        <is>
          <t>Seeded</t>
        </is>
      </c>
      <c r="S130" s="5" t="inlineStr">
        <is>
          <t>2026-01-29</t>
        </is>
      </c>
      <c r="T130" s="5" t="inlineStr">
        <is>
          <t>https://en.wikipedia.org/w/index.php?search=Neil+Burger</t>
        </is>
      </c>
      <c r="U130" s="5" t="inlineStr">
        <is>
          <t>https://www.imdb.com/find/?q=Neil+Burger&amp;s=nm</t>
        </is>
      </c>
      <c r="AO130" s="19">
        <f>IFERROR(VLOOKUP(AN130,BUDGET_BANDS!$A$2:$C$9,2,FALSE),"")</f>
        <v/>
      </c>
      <c r="AP130" s="19">
        <f>IFERROR(VLOOKUP(AN130,BUDGET_BANDS!$A$2:$C$9,3,FALSE),"")</f>
        <v/>
      </c>
    </row>
    <row r="131">
      <c r="A131" s="5" t="inlineStr">
        <is>
          <t>Neil Marshall</t>
        </is>
      </c>
      <c r="B131" s="5" t="inlineStr">
        <is>
          <t>T2</t>
        </is>
      </c>
      <c r="C131" s="5" t="inlineStr">
        <is>
          <t>Established</t>
        </is>
      </c>
      <c r="D131" s="5" t="inlineStr">
        <is>
          <t>US/Intl</t>
        </is>
      </c>
      <c r="E131" s="5" t="inlineStr">
        <is>
          <t>Horror</t>
        </is>
      </c>
      <c r="F131" s="5" t="inlineStr">
        <is>
          <t>Thriller/Mystery</t>
        </is>
      </c>
      <c r="G131" s="5" t="inlineStr">
        <is>
          <t>Low/Mid/Studio</t>
        </is>
      </c>
      <c r="H131" s="5" t="inlineStr">
        <is>
          <t>tense, atmospheric</t>
        </is>
      </c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>
        <is>
          <t>Seeded</t>
        </is>
      </c>
      <c r="S131" s="5" t="inlineStr">
        <is>
          <t>2026-01-29</t>
        </is>
      </c>
      <c r="T131" s="5" t="inlineStr">
        <is>
          <t>https://en.wikipedia.org/w/index.php?search=Neil+Marshall</t>
        </is>
      </c>
      <c r="U131" s="5" t="inlineStr">
        <is>
          <t>https://www.imdb.com/find/?q=Neil+Marshall&amp;s=nm</t>
        </is>
      </c>
      <c r="AO131" s="19">
        <f>IFERROR(VLOOKUP(AN131,BUDGET_BANDS!$A$2:$C$9,2,FALSE),"")</f>
        <v/>
      </c>
      <c r="AP131" s="19">
        <f>IFERROR(VLOOKUP(AN131,BUDGET_BANDS!$A$2:$C$9,3,FALSE),"")</f>
        <v/>
      </c>
    </row>
    <row r="132">
      <c r="A132" s="5" t="inlineStr">
        <is>
          <t>Neill Blomkamp</t>
        </is>
      </c>
      <c r="B132" s="5" t="inlineStr">
        <is>
          <t>T2</t>
        </is>
      </c>
      <c r="C132" s="5" t="inlineStr">
        <is>
          <t>Established</t>
        </is>
      </c>
      <c r="D132" s="5" t="inlineStr">
        <is>
          <t>US/Intl</t>
        </is>
      </c>
      <c r="E132" s="5" t="inlineStr">
        <is>
          <t>Sci-fi</t>
        </is>
      </c>
      <c r="F132" s="5" t="inlineStr">
        <is>
          <t>Action,Thriller/Mystery</t>
        </is>
      </c>
      <c r="G132" s="5" t="inlineStr">
        <is>
          <t>Studio/Tentpole</t>
        </is>
      </c>
      <c r="H132" s="5" t="inlineStr">
        <is>
          <t>concept-driven, visual</t>
        </is>
      </c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>
        <is>
          <t>Seeded</t>
        </is>
      </c>
      <c r="S132" s="5" t="inlineStr">
        <is>
          <t>2026-01-29</t>
        </is>
      </c>
      <c r="T132" s="5" t="inlineStr">
        <is>
          <t>https://en.wikipedia.org/w/index.php?search=Neill+Blomkamp</t>
        </is>
      </c>
      <c r="U132" s="5" t="inlineStr">
        <is>
          <t>https://www.imdb.com/find/?q=Neill+Blomkamp&amp;s=nm</t>
        </is>
      </c>
      <c r="AO132" s="19">
        <f>IFERROR(VLOOKUP(AN132,BUDGET_BANDS!$A$2:$C$9,2,FALSE),"")</f>
        <v/>
      </c>
      <c r="AP132" s="19">
        <f>IFERROR(VLOOKUP(AN132,BUDGET_BANDS!$A$2:$C$9,3,FALSE),"")</f>
        <v/>
      </c>
    </row>
    <row r="133">
      <c r="A133" s="5" t="inlineStr">
        <is>
          <t>Nicholas Stoller</t>
        </is>
      </c>
      <c r="B133" s="5" t="inlineStr">
        <is>
          <t>T2</t>
        </is>
      </c>
      <c r="C133" s="5" t="inlineStr">
        <is>
          <t>Established</t>
        </is>
      </c>
      <c r="D133" s="5" t="inlineStr">
        <is>
          <t>US/UK</t>
        </is>
      </c>
      <c r="E133" s="5" t="inlineStr">
        <is>
          <t>Comedy</t>
        </is>
      </c>
      <c r="F133" s="5" t="inlineStr">
        <is>
          <t>Action-comedy,Drama</t>
        </is>
      </c>
      <c r="G133" s="5" t="inlineStr">
        <is>
          <t>Mid/Studio</t>
        </is>
      </c>
      <c r="H133" s="5" t="inlineStr">
        <is>
          <t>comedic, commercial</t>
        </is>
      </c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>
        <is>
          <t>Seeded</t>
        </is>
      </c>
      <c r="S133" s="5" t="inlineStr">
        <is>
          <t>2026-01-29</t>
        </is>
      </c>
      <c r="T133" s="5" t="inlineStr">
        <is>
          <t>https://en.wikipedia.org/w/index.php?search=Nicholas+Stoller</t>
        </is>
      </c>
      <c r="U133" s="5" t="inlineStr">
        <is>
          <t>https://www.imdb.com/find/?q=Nicholas+Stoller&amp;s=nm</t>
        </is>
      </c>
      <c r="AO133" s="19">
        <f>IFERROR(VLOOKUP(AN133,BUDGET_BANDS!$A$2:$C$9,2,FALSE),"")</f>
        <v/>
      </c>
      <c r="AP133" s="19">
        <f>IFERROR(VLOOKUP(AN133,BUDGET_BANDS!$A$2:$C$9,3,FALSE),"")</f>
        <v/>
      </c>
    </row>
    <row r="134">
      <c r="A134" s="5" t="inlineStr">
        <is>
          <t>Niki Caro</t>
        </is>
      </c>
      <c r="B134" s="5" t="inlineStr">
        <is>
          <t>T2</t>
        </is>
      </c>
      <c r="C134" s="5" t="inlineStr">
        <is>
          <t>Established</t>
        </is>
      </c>
      <c r="D134" s="5" t="inlineStr">
        <is>
          <t>US/Intl</t>
        </is>
      </c>
      <c r="E134" s="5" t="inlineStr">
        <is>
          <t>Prestige drama</t>
        </is>
      </c>
      <c r="F134" s="5" t="inlineStr">
        <is>
          <t>Drama,Biopic,Historical/Epic</t>
        </is>
      </c>
      <c r="G134" s="5" t="inlineStr">
        <is>
          <t>Mid/Studio</t>
        </is>
      </c>
      <c r="H134" s="5" t="inlineStr">
        <is>
          <t>character-forward, cinematic</t>
        </is>
      </c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>
        <is>
          <t>Seeded</t>
        </is>
      </c>
      <c r="S134" s="5" t="inlineStr">
        <is>
          <t>2026-01-29</t>
        </is>
      </c>
      <c r="T134" s="5" t="inlineStr">
        <is>
          <t>https://en.wikipedia.org/w/index.php?search=Niki+Caro</t>
        </is>
      </c>
      <c r="U134" s="5" t="inlineStr">
        <is>
          <t>https://www.imdb.com/find/?q=Niki+Caro&amp;s=nm</t>
        </is>
      </c>
      <c r="AO134" s="19">
        <f>IFERROR(VLOOKUP(AN134,BUDGET_BANDS!$A$2:$C$9,2,FALSE),"")</f>
        <v/>
      </c>
      <c r="AP134" s="19">
        <f>IFERROR(VLOOKUP(AN134,BUDGET_BANDS!$A$2:$C$9,3,FALSE),"")</f>
        <v/>
      </c>
    </row>
    <row r="135">
      <c r="A135" s="5" t="inlineStr">
        <is>
          <t>Noah Baumbach</t>
        </is>
      </c>
      <c r="B135" s="5" t="inlineStr">
        <is>
          <t>T2</t>
        </is>
      </c>
      <c r="C135" s="5" t="inlineStr">
        <is>
          <t>Established</t>
        </is>
      </c>
      <c r="D135" s="5" t="inlineStr">
        <is>
          <t>US/Intl</t>
        </is>
      </c>
      <c r="E135" s="5" t="inlineStr">
        <is>
          <t>Prestige drama</t>
        </is>
      </c>
      <c r="F135" s="5" t="inlineStr">
        <is>
          <t>Drama,Biopic,Historical/Epic</t>
        </is>
      </c>
      <c r="G135" s="5" t="inlineStr">
        <is>
          <t>Mid/Studio</t>
        </is>
      </c>
      <c r="H135" s="5" t="inlineStr">
        <is>
          <t>character-forward, cinematic</t>
        </is>
      </c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>
        <is>
          <t>Seeded</t>
        </is>
      </c>
      <c r="S135" s="5" t="inlineStr">
        <is>
          <t>2026-01-29</t>
        </is>
      </c>
      <c r="T135" s="5" t="inlineStr">
        <is>
          <t>https://en.wikipedia.org/w/index.php?search=Noah+Baumbach</t>
        </is>
      </c>
      <c r="U135" s="5" t="inlineStr">
        <is>
          <t>https://www.imdb.com/find/?q=Noah+Baumbach&amp;s=nm</t>
        </is>
      </c>
      <c r="AO135" s="19">
        <f>IFERROR(VLOOKUP(AN135,BUDGET_BANDS!$A$2:$C$9,2,FALSE),"")</f>
        <v/>
      </c>
      <c r="AP135" s="19">
        <f>IFERROR(VLOOKUP(AN135,BUDGET_BANDS!$A$2:$C$9,3,FALSE),"")</f>
        <v/>
      </c>
    </row>
    <row r="136">
      <c r="A136" s="5" t="inlineStr">
        <is>
          <t>Nora Twomey</t>
        </is>
      </c>
      <c r="B136" s="5" t="inlineStr">
        <is>
          <t>T2</t>
        </is>
      </c>
      <c r="C136" s="5" t="inlineStr">
        <is>
          <t>Established</t>
        </is>
      </c>
      <c r="D136" s="5" t="inlineStr">
        <is>
          <t>US/Intl</t>
        </is>
      </c>
      <c r="E136" s="5" t="inlineStr">
        <is>
          <t>Animation</t>
        </is>
      </c>
      <c r="F136" s="5" t="inlineStr">
        <is>
          <t>Family,Fantasy</t>
        </is>
      </c>
      <c r="G136" s="5" t="inlineStr">
        <is>
          <t>Studio</t>
        </is>
      </c>
      <c r="H136" s="5" t="inlineStr">
        <is>
          <t>animated, family</t>
        </is>
      </c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>
        <is>
          <t>Seeded</t>
        </is>
      </c>
      <c r="S136" s="5" t="inlineStr">
        <is>
          <t>2026-01-29</t>
        </is>
      </c>
      <c r="T136" s="5" t="inlineStr">
        <is>
          <t>https://en.wikipedia.org/w/index.php?search=Nora+Twomey</t>
        </is>
      </c>
      <c r="U136" s="5" t="inlineStr">
        <is>
          <t>https://www.imdb.com/find/?q=Nora+Twomey&amp;s=nm</t>
        </is>
      </c>
      <c r="AO136" s="19">
        <f>IFERROR(VLOOKUP(AN136,BUDGET_BANDS!$A$2:$C$9,2,FALSE),"")</f>
        <v/>
      </c>
      <c r="AP136" s="19">
        <f>IFERROR(VLOOKUP(AN136,BUDGET_BANDS!$A$2:$C$9,3,FALSE),"")</f>
        <v/>
      </c>
    </row>
    <row r="137">
      <c r="A137" s="5" t="inlineStr">
        <is>
          <t>Osgood Perkins</t>
        </is>
      </c>
      <c r="B137" s="5" t="inlineStr">
        <is>
          <t>T2</t>
        </is>
      </c>
      <c r="C137" s="5" t="inlineStr">
        <is>
          <t>Established</t>
        </is>
      </c>
      <c r="D137" s="5" t="inlineStr">
        <is>
          <t>US/Intl</t>
        </is>
      </c>
      <c r="E137" s="5" t="inlineStr">
        <is>
          <t>Horror</t>
        </is>
      </c>
      <c r="F137" s="5" t="inlineStr">
        <is>
          <t>Thriller/Mystery</t>
        </is>
      </c>
      <c r="G137" s="5" t="inlineStr">
        <is>
          <t>Low/Mid/Studio</t>
        </is>
      </c>
      <c r="H137" s="5" t="inlineStr">
        <is>
          <t>tense, atmospheric</t>
        </is>
      </c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>
        <is>
          <t>Seeded</t>
        </is>
      </c>
      <c r="S137" s="5" t="inlineStr">
        <is>
          <t>2026-01-29</t>
        </is>
      </c>
      <c r="T137" s="5" t="inlineStr">
        <is>
          <t>https://en.wikipedia.org/w/index.php?search=Osgood+Perkins</t>
        </is>
      </c>
      <c r="U137" s="5" t="inlineStr">
        <is>
          <t>https://www.imdb.com/find/?q=Osgood+Perkins&amp;s=nm</t>
        </is>
      </c>
      <c r="AO137" s="19">
        <f>IFERROR(VLOOKUP(AN137,BUDGET_BANDS!$A$2:$C$9,2,FALSE),"")</f>
        <v/>
      </c>
      <c r="AP137" s="19">
        <f>IFERROR(VLOOKUP(AN137,BUDGET_BANDS!$A$2:$C$9,3,FALSE),"")</f>
        <v/>
      </c>
    </row>
    <row r="138">
      <c r="A138" s="5" t="inlineStr">
        <is>
          <t>Paco Plaza</t>
        </is>
      </c>
      <c r="B138" s="5" t="inlineStr">
        <is>
          <t>T2</t>
        </is>
      </c>
      <c r="C138" s="5" t="inlineStr">
        <is>
          <t>Established</t>
        </is>
      </c>
      <c r="D138" s="5" t="inlineStr">
        <is>
          <t>US/Intl</t>
        </is>
      </c>
      <c r="E138" s="5" t="inlineStr">
        <is>
          <t>Horror</t>
        </is>
      </c>
      <c r="F138" s="5" t="inlineStr">
        <is>
          <t>Thriller/Mystery</t>
        </is>
      </c>
      <c r="G138" s="5" t="inlineStr">
        <is>
          <t>Low/Mid/Studio</t>
        </is>
      </c>
      <c r="H138" s="5" t="inlineStr">
        <is>
          <t>tense, atmospheric</t>
        </is>
      </c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>
        <is>
          <t>Seeded</t>
        </is>
      </c>
      <c r="S138" s="5" t="inlineStr">
        <is>
          <t>2026-01-29</t>
        </is>
      </c>
      <c r="T138" s="5" t="inlineStr">
        <is>
          <t>https://en.wikipedia.org/w/index.php?search=Paco+Plaza</t>
        </is>
      </c>
      <c r="U138" s="5" t="inlineStr">
        <is>
          <t>https://www.imdb.com/find/?q=Paco+Plaza&amp;s=nm</t>
        </is>
      </c>
      <c r="AO138" s="19">
        <f>IFERROR(VLOOKUP(AN138,BUDGET_BANDS!$A$2:$C$9,2,FALSE),"")</f>
        <v/>
      </c>
      <c r="AP138" s="19">
        <f>IFERROR(VLOOKUP(AN138,BUDGET_BANDS!$A$2:$C$9,3,FALSE),"")</f>
        <v/>
      </c>
    </row>
    <row r="139">
      <c r="A139" s="5" t="inlineStr">
        <is>
          <t>Paolo Sorrentino</t>
        </is>
      </c>
      <c r="B139" s="5" t="inlineStr">
        <is>
          <t>T2</t>
        </is>
      </c>
      <c r="C139" s="5" t="inlineStr">
        <is>
          <t>Established</t>
        </is>
      </c>
      <c r="D139" s="5" t="inlineStr">
        <is>
          <t>US/Intl</t>
        </is>
      </c>
      <c r="E139" s="5" t="inlineStr">
        <is>
          <t>Prestige drama</t>
        </is>
      </c>
      <c r="F139" s="5" t="inlineStr">
        <is>
          <t>Drama,Biopic,Historical/Epic</t>
        </is>
      </c>
      <c r="G139" s="5" t="inlineStr">
        <is>
          <t>Mid/Studio</t>
        </is>
      </c>
      <c r="H139" s="5" t="inlineStr">
        <is>
          <t>character-forward, cinematic</t>
        </is>
      </c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>
        <is>
          <t>Seeded</t>
        </is>
      </c>
      <c r="S139" s="5" t="inlineStr">
        <is>
          <t>2026-01-29</t>
        </is>
      </c>
      <c r="T139" s="5" t="inlineStr">
        <is>
          <t>https://en.wikipedia.org/w/index.php?search=Paolo+Sorrentino</t>
        </is>
      </c>
      <c r="U139" s="5" t="inlineStr">
        <is>
          <t>https://www.imdb.com/find/?q=Paolo+Sorrentino&amp;s=nm</t>
        </is>
      </c>
      <c r="AO139" s="19">
        <f>IFERROR(VLOOKUP(AN139,BUDGET_BANDS!$A$2:$C$9,2,FALSE),"")</f>
        <v/>
      </c>
      <c r="AP139" s="19">
        <f>IFERROR(VLOOKUP(AN139,BUDGET_BANDS!$A$2:$C$9,3,FALSE),"")</f>
        <v/>
      </c>
    </row>
    <row r="140">
      <c r="A140" s="5" t="inlineStr">
        <is>
          <t>Park Chan-wook</t>
        </is>
      </c>
      <c r="B140" s="5" t="inlineStr">
        <is>
          <t>T2</t>
        </is>
      </c>
      <c r="C140" s="5" t="inlineStr">
        <is>
          <t>Established</t>
        </is>
      </c>
      <c r="D140" s="5" t="inlineStr">
        <is>
          <t>US/Intl</t>
        </is>
      </c>
      <c r="E140" s="5" t="inlineStr">
        <is>
          <t>Horror</t>
        </is>
      </c>
      <c r="F140" s="5" t="inlineStr">
        <is>
          <t>Thriller/Mystery</t>
        </is>
      </c>
      <c r="G140" s="5" t="inlineStr">
        <is>
          <t>Low/Mid/Studio</t>
        </is>
      </c>
      <c r="H140" s="5" t="inlineStr">
        <is>
          <t>tense, atmospheric</t>
        </is>
      </c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>
        <is>
          <t>Seeded</t>
        </is>
      </c>
      <c r="S140" s="5" t="inlineStr">
        <is>
          <t>2026-01-29</t>
        </is>
      </c>
      <c r="T140" s="5" t="inlineStr">
        <is>
          <t>https://en.wikipedia.org/w/index.php?search=Park+Chan-wook</t>
        </is>
      </c>
      <c r="U140" s="5" t="inlineStr">
        <is>
          <t>https://www.imdb.com/find/?q=Park+Chan-wook&amp;s=nm</t>
        </is>
      </c>
      <c r="AO140" s="19">
        <f>IFERROR(VLOOKUP(AN140,BUDGET_BANDS!$A$2:$C$9,2,FALSE),"")</f>
        <v/>
      </c>
      <c r="AP140" s="19">
        <f>IFERROR(VLOOKUP(AN140,BUDGET_BANDS!$A$2:$C$9,3,FALSE),"")</f>
        <v/>
      </c>
    </row>
    <row r="141">
      <c r="A141" s="5" t="inlineStr">
        <is>
          <t>Paul Feig</t>
        </is>
      </c>
      <c r="B141" s="5" t="inlineStr">
        <is>
          <t>T2</t>
        </is>
      </c>
      <c r="C141" s="5" t="inlineStr">
        <is>
          <t>Established</t>
        </is>
      </c>
      <c r="D141" s="5" t="inlineStr">
        <is>
          <t>US/Intl</t>
        </is>
      </c>
      <c r="E141" s="5" t="inlineStr">
        <is>
          <t>Action</t>
        </is>
      </c>
      <c r="F141" s="5" t="inlineStr">
        <is>
          <t>Thriller/Mystery,Crime/Heist</t>
        </is>
      </c>
      <c r="G141" s="5" t="inlineStr">
        <is>
          <t>Studio/Mid</t>
        </is>
      </c>
      <c r="H141" s="5" t="inlineStr">
        <is>
          <t>propulsive, commercial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>
        <is>
          <t>Seeded</t>
        </is>
      </c>
      <c r="S141" s="5" t="inlineStr">
        <is>
          <t>2026-01-29</t>
        </is>
      </c>
      <c r="T141" s="5" t="inlineStr">
        <is>
          <t>https://en.wikipedia.org/w/index.php?search=Paul+Feig</t>
        </is>
      </c>
      <c r="U141" s="5" t="inlineStr">
        <is>
          <t>https://www.imdb.com/find/?q=Paul+Feig&amp;s=nm</t>
        </is>
      </c>
      <c r="AO141" s="19">
        <f>IFERROR(VLOOKUP(AN141,BUDGET_BANDS!$A$2:$C$9,2,FALSE),"")</f>
        <v/>
      </c>
      <c r="AP141" s="19">
        <f>IFERROR(VLOOKUP(AN141,BUDGET_BANDS!$A$2:$C$9,3,FALSE),"")</f>
        <v/>
      </c>
    </row>
    <row r="142">
      <c r="A142" s="5" t="inlineStr">
        <is>
          <t>Paul Greengrass</t>
        </is>
      </c>
      <c r="B142" s="5" t="inlineStr">
        <is>
          <t>T2</t>
        </is>
      </c>
      <c r="C142" s="5" t="inlineStr">
        <is>
          <t>Established</t>
        </is>
      </c>
      <c r="D142" s="5" t="inlineStr">
        <is>
          <t>US/Intl</t>
        </is>
      </c>
      <c r="E142" s="5" t="inlineStr">
        <is>
          <t>Action</t>
        </is>
      </c>
      <c r="F142" s="5" t="inlineStr">
        <is>
          <t>Thriller/Mystery,Crime/Heist</t>
        </is>
      </c>
      <c r="G142" s="5" t="inlineStr">
        <is>
          <t>Studio/Mid</t>
        </is>
      </c>
      <c r="H142" s="5" t="inlineStr">
        <is>
          <t>propulsive, commercial</t>
        </is>
      </c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>
        <is>
          <t>Seeded</t>
        </is>
      </c>
      <c r="S142" s="5" t="inlineStr">
        <is>
          <t>2026-01-29</t>
        </is>
      </c>
      <c r="T142" s="5" t="inlineStr">
        <is>
          <t>https://en.wikipedia.org/w/index.php?search=Paul+Greengrass</t>
        </is>
      </c>
      <c r="U142" s="5" t="inlineStr">
        <is>
          <t>https://www.imdb.com/find/?q=Paul+Greengrass&amp;s=nm</t>
        </is>
      </c>
      <c r="AO142" s="19">
        <f>IFERROR(VLOOKUP(AN142,BUDGET_BANDS!$A$2:$C$9,2,FALSE),"")</f>
        <v/>
      </c>
      <c r="AP142" s="19">
        <f>IFERROR(VLOOKUP(AN142,BUDGET_BANDS!$A$2:$C$9,3,FALSE),"")</f>
        <v/>
      </c>
    </row>
    <row r="143">
      <c r="A143" s="5" t="inlineStr">
        <is>
          <t>Paul Thomas Anderson</t>
        </is>
      </c>
      <c r="B143" s="5" t="inlineStr">
        <is>
          <t>T2</t>
        </is>
      </c>
      <c r="C143" s="5" t="inlineStr">
        <is>
          <t>Established</t>
        </is>
      </c>
      <c r="D143" s="5" t="inlineStr">
        <is>
          <t>US/Intl</t>
        </is>
      </c>
      <c r="E143" s="5" t="inlineStr">
        <is>
          <t>Prestige drama</t>
        </is>
      </c>
      <c r="F143" s="5" t="inlineStr">
        <is>
          <t>Drama,Biopic,Historical/Epic</t>
        </is>
      </c>
      <c r="G143" s="5" t="inlineStr">
        <is>
          <t>Mid/Studio</t>
        </is>
      </c>
      <c r="H143" s="5" t="inlineStr">
        <is>
          <t>character-forward, cinematic</t>
        </is>
      </c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>
        <is>
          <t>Seeded</t>
        </is>
      </c>
      <c r="S143" s="5" t="inlineStr">
        <is>
          <t>2026-01-29</t>
        </is>
      </c>
      <c r="T143" s="5" t="inlineStr">
        <is>
          <t>https://en.wikipedia.org/w/index.php?search=Paul+Thomas+Anderson</t>
        </is>
      </c>
      <c r="U143" s="5" t="inlineStr">
        <is>
          <t>https://www.imdb.com/find/?q=Paul+Thomas+Anderson&amp;s=nm</t>
        </is>
      </c>
      <c r="AO143" s="19">
        <f>IFERROR(VLOOKUP(AN143,BUDGET_BANDS!$A$2:$C$9,2,FALSE),"")</f>
        <v/>
      </c>
      <c r="AP143" s="19">
        <f>IFERROR(VLOOKUP(AN143,BUDGET_BANDS!$A$2:$C$9,3,FALSE),"")</f>
        <v/>
      </c>
    </row>
    <row r="144">
      <c r="A144" s="5" t="inlineStr">
        <is>
          <t>Paul W. S. Anderson</t>
        </is>
      </c>
      <c r="B144" s="5" t="inlineStr">
        <is>
          <t>T2</t>
        </is>
      </c>
      <c r="C144" s="5" t="inlineStr">
        <is>
          <t>Established</t>
        </is>
      </c>
      <c r="D144" s="5" t="inlineStr">
        <is>
          <t>US/Intl</t>
        </is>
      </c>
      <c r="E144" s="5" t="inlineStr">
        <is>
          <t>Action</t>
        </is>
      </c>
      <c r="F144" s="5" t="inlineStr">
        <is>
          <t>Thriller/Mystery,Crime/Heist</t>
        </is>
      </c>
      <c r="G144" s="5" t="inlineStr">
        <is>
          <t>Studio/Mid</t>
        </is>
      </c>
      <c r="H144" s="5" t="inlineStr">
        <is>
          <t>propulsive, commercial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>
        <is>
          <t>Seeded</t>
        </is>
      </c>
      <c r="S144" s="5" t="inlineStr">
        <is>
          <t>2026-01-29</t>
        </is>
      </c>
      <c r="T144" s="5" t="inlineStr">
        <is>
          <t>https://en.wikipedia.org/w/index.php?search=Paul+W.+S.+Anderson</t>
        </is>
      </c>
      <c r="U144" s="5" t="inlineStr">
        <is>
          <t>https://www.imdb.com/find/?q=Paul+W.+S.+Anderson&amp;s=nm</t>
        </is>
      </c>
      <c r="AO144" s="19">
        <f>IFERROR(VLOOKUP(AN144,BUDGET_BANDS!$A$2:$C$9,2,FALSE),"")</f>
        <v/>
      </c>
      <c r="AP144" s="19">
        <f>IFERROR(VLOOKUP(AN144,BUDGET_BANDS!$A$2:$C$9,3,FALSE),"")</f>
        <v/>
      </c>
    </row>
    <row r="145">
      <c r="A145" s="5" t="inlineStr">
        <is>
          <t>Pedro Almodóvar</t>
        </is>
      </c>
      <c r="B145" s="5" t="inlineStr">
        <is>
          <t>T2</t>
        </is>
      </c>
      <c r="C145" s="5" t="inlineStr">
        <is>
          <t>Established</t>
        </is>
      </c>
      <c r="D145" s="5" t="inlineStr">
        <is>
          <t>US/Intl</t>
        </is>
      </c>
      <c r="E145" s="5" t="inlineStr">
        <is>
          <t>Prestige drama</t>
        </is>
      </c>
      <c r="F145" s="5" t="inlineStr">
        <is>
          <t>Drama,Biopic,Historical/Epic</t>
        </is>
      </c>
      <c r="G145" s="5" t="inlineStr">
        <is>
          <t>Mid/Studio</t>
        </is>
      </c>
      <c r="H145" s="5" t="inlineStr">
        <is>
          <t>character-forward, cinematic</t>
        </is>
      </c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>
        <is>
          <t>Seeded</t>
        </is>
      </c>
      <c r="S145" s="5" t="inlineStr">
        <is>
          <t>2026-01-29</t>
        </is>
      </c>
      <c r="T145" s="5" t="inlineStr">
        <is>
          <t>https://en.wikipedia.org/w/index.php?search=Pedro+Almod%C3%B3var</t>
        </is>
      </c>
      <c r="U145" s="5" t="inlineStr">
        <is>
          <t>https://www.imdb.com/find/?q=Pedro+Almod%C3%B3var&amp;s=nm</t>
        </is>
      </c>
      <c r="AO145" s="19">
        <f>IFERROR(VLOOKUP(AN145,BUDGET_BANDS!$A$2:$C$9,2,FALSE),"")</f>
        <v/>
      </c>
      <c r="AP145" s="19">
        <f>IFERROR(VLOOKUP(AN145,BUDGET_BANDS!$A$2:$C$9,3,FALSE),"")</f>
        <v/>
      </c>
    </row>
    <row r="146">
      <c r="A146" s="5" t="inlineStr">
        <is>
          <t>Pete Docter</t>
        </is>
      </c>
      <c r="B146" s="5" t="inlineStr">
        <is>
          <t>T2</t>
        </is>
      </c>
      <c r="C146" s="5" t="inlineStr">
        <is>
          <t>Established</t>
        </is>
      </c>
      <c r="D146" s="5" t="inlineStr">
        <is>
          <t>US/Intl</t>
        </is>
      </c>
      <c r="E146" s="5" t="inlineStr">
        <is>
          <t>Animation</t>
        </is>
      </c>
      <c r="F146" s="5" t="inlineStr">
        <is>
          <t>Family,Fantasy</t>
        </is>
      </c>
      <c r="G146" s="5" t="inlineStr">
        <is>
          <t>Studio</t>
        </is>
      </c>
      <c r="H146" s="5" t="inlineStr">
        <is>
          <t>animated, family</t>
        </is>
      </c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>
        <is>
          <t>Seeded</t>
        </is>
      </c>
      <c r="S146" s="5" t="inlineStr">
        <is>
          <t>2026-01-29</t>
        </is>
      </c>
      <c r="T146" s="5" t="inlineStr">
        <is>
          <t>https://en.wikipedia.org/w/index.php?search=Pete+Docter</t>
        </is>
      </c>
      <c r="U146" s="5" t="inlineStr">
        <is>
          <t>https://www.imdb.com/find/?q=Pete+Docter&amp;s=nm</t>
        </is>
      </c>
      <c r="AO146" s="19">
        <f>IFERROR(VLOOKUP(AN146,BUDGET_BANDS!$A$2:$C$9,2,FALSE),"")</f>
        <v/>
      </c>
      <c r="AP146" s="19">
        <f>IFERROR(VLOOKUP(AN146,BUDGET_BANDS!$A$2:$C$9,3,FALSE),"")</f>
        <v/>
      </c>
    </row>
    <row r="147">
      <c r="A147" s="5" t="inlineStr">
        <is>
          <t>Peter Berg</t>
        </is>
      </c>
      <c r="B147" s="5" t="inlineStr">
        <is>
          <t>T2</t>
        </is>
      </c>
      <c r="C147" s="5" t="inlineStr">
        <is>
          <t>Established</t>
        </is>
      </c>
      <c r="D147" s="5" t="inlineStr">
        <is>
          <t>US/Intl</t>
        </is>
      </c>
      <c r="E147" s="5" t="inlineStr">
        <is>
          <t>Action</t>
        </is>
      </c>
      <c r="F147" s="5" t="inlineStr">
        <is>
          <t>Thriller/Mystery,Crime/Heist</t>
        </is>
      </c>
      <c r="G147" s="5" t="inlineStr">
        <is>
          <t>Studio/Mid</t>
        </is>
      </c>
      <c r="H147" s="5" t="inlineStr">
        <is>
          <t>propulsive, commercial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>
        <is>
          <t>Seeded</t>
        </is>
      </c>
      <c r="S147" s="5" t="inlineStr">
        <is>
          <t>2026-01-29</t>
        </is>
      </c>
      <c r="T147" s="5" t="inlineStr">
        <is>
          <t>https://en.wikipedia.org/w/index.php?search=Peter+Berg</t>
        </is>
      </c>
      <c r="U147" s="5" t="inlineStr">
        <is>
          <t>https://www.imdb.com/find/?q=Peter+Berg&amp;s=nm</t>
        </is>
      </c>
      <c r="AO147" s="19">
        <f>IFERROR(VLOOKUP(AN147,BUDGET_BANDS!$A$2:$C$9,2,FALSE),"")</f>
        <v/>
      </c>
      <c r="AP147" s="19">
        <f>IFERROR(VLOOKUP(AN147,BUDGET_BANDS!$A$2:$C$9,3,FALSE),"")</f>
        <v/>
      </c>
    </row>
    <row r="148">
      <c r="A148" s="5" t="inlineStr">
        <is>
          <t>Peter Sohn</t>
        </is>
      </c>
      <c r="B148" s="5" t="inlineStr">
        <is>
          <t>T2</t>
        </is>
      </c>
      <c r="C148" s="5" t="inlineStr">
        <is>
          <t>Established</t>
        </is>
      </c>
      <c r="D148" s="5" t="inlineStr">
        <is>
          <t>US/Intl</t>
        </is>
      </c>
      <c r="E148" s="5" t="inlineStr">
        <is>
          <t>Animation</t>
        </is>
      </c>
      <c r="F148" s="5" t="inlineStr">
        <is>
          <t>Family,Fantasy</t>
        </is>
      </c>
      <c r="G148" s="5" t="inlineStr">
        <is>
          <t>Studio</t>
        </is>
      </c>
      <c r="H148" s="5" t="inlineStr">
        <is>
          <t>animated, family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>
        <is>
          <t>Seeded</t>
        </is>
      </c>
      <c r="S148" s="5" t="inlineStr">
        <is>
          <t>2026-01-29</t>
        </is>
      </c>
      <c r="T148" s="5" t="inlineStr">
        <is>
          <t>https://en.wikipedia.org/w/index.php?search=Peter+Sohn</t>
        </is>
      </c>
      <c r="U148" s="5" t="inlineStr">
        <is>
          <t>https://www.imdb.com/find/?q=Peter+Sohn&amp;s=nm</t>
        </is>
      </c>
      <c r="AO148" s="19">
        <f>IFERROR(VLOOKUP(AN148,BUDGET_BANDS!$A$2:$C$9,2,FALSE),"")</f>
        <v/>
      </c>
      <c r="AP148" s="19">
        <f>IFERROR(VLOOKUP(AN148,BUDGET_BANDS!$A$2:$C$9,3,FALSE),"")</f>
        <v/>
      </c>
    </row>
    <row r="149">
      <c r="A149" s="5" t="inlineStr">
        <is>
          <t>Phil Lord</t>
        </is>
      </c>
      <c r="B149" s="5" t="inlineStr">
        <is>
          <t>T2</t>
        </is>
      </c>
      <c r="C149" s="5" t="inlineStr">
        <is>
          <t>Established</t>
        </is>
      </c>
      <c r="D149" s="5" t="inlineStr">
        <is>
          <t>US/UK</t>
        </is>
      </c>
      <c r="E149" s="5" t="inlineStr">
        <is>
          <t>Comedy</t>
        </is>
      </c>
      <c r="F149" s="5" t="inlineStr">
        <is>
          <t>Action-comedy,Drama</t>
        </is>
      </c>
      <c r="G149" s="5" t="inlineStr">
        <is>
          <t>Mid/Studio</t>
        </is>
      </c>
      <c r="H149" s="5" t="inlineStr">
        <is>
          <t>comedic, commercial</t>
        </is>
      </c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>
        <is>
          <t>Seeded</t>
        </is>
      </c>
      <c r="S149" s="5" t="inlineStr">
        <is>
          <t>2026-01-29</t>
        </is>
      </c>
      <c r="T149" s="5" t="inlineStr">
        <is>
          <t>https://en.wikipedia.org/w/index.php?search=Phil+Lord</t>
        </is>
      </c>
      <c r="U149" s="5" t="inlineStr">
        <is>
          <t>https://www.imdb.com/find/?q=Phil+Lord&amp;s=nm</t>
        </is>
      </c>
      <c r="AO149" s="19">
        <f>IFERROR(VLOOKUP(AN149,BUDGET_BANDS!$A$2:$C$9,2,FALSE),"")</f>
        <v/>
      </c>
      <c r="AP149" s="19">
        <f>IFERROR(VLOOKUP(AN149,BUDGET_BANDS!$A$2:$C$9,3,FALSE),"")</f>
        <v/>
      </c>
    </row>
    <row r="150">
      <c r="A150" s="5" t="inlineStr">
        <is>
          <t>Phillip Noyce</t>
        </is>
      </c>
      <c r="B150" s="5" t="inlineStr">
        <is>
          <t>T2</t>
        </is>
      </c>
      <c r="C150" s="5" t="inlineStr">
        <is>
          <t>Established</t>
        </is>
      </c>
      <c r="D150" s="5" t="inlineStr">
        <is>
          <t>US/Intl</t>
        </is>
      </c>
      <c r="E150" s="5" t="inlineStr">
        <is>
          <t>Action</t>
        </is>
      </c>
      <c r="F150" s="5" t="inlineStr">
        <is>
          <t>Thriller/Mystery,Crime/Heist</t>
        </is>
      </c>
      <c r="G150" s="5" t="inlineStr">
        <is>
          <t>Studio/Mid</t>
        </is>
      </c>
      <c r="H150" s="5" t="inlineStr">
        <is>
          <t>propulsive, commercial</t>
        </is>
      </c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>
        <is>
          <t>Seeded</t>
        </is>
      </c>
      <c r="S150" s="5" t="inlineStr">
        <is>
          <t>2026-01-29</t>
        </is>
      </c>
      <c r="T150" s="5" t="inlineStr">
        <is>
          <t>https://en.wikipedia.org/w/index.php?search=Phillip+Noyce</t>
        </is>
      </c>
      <c r="U150" s="5" t="inlineStr">
        <is>
          <t>https://www.imdb.com/find/?q=Phillip+Noyce&amp;s=nm</t>
        </is>
      </c>
      <c r="AO150" s="19">
        <f>IFERROR(VLOOKUP(AN150,BUDGET_BANDS!$A$2:$C$9,2,FALSE),"")</f>
        <v/>
      </c>
      <c r="AP150" s="19">
        <f>IFERROR(VLOOKUP(AN150,BUDGET_BANDS!$A$2:$C$9,3,FALSE),"")</f>
        <v/>
      </c>
    </row>
    <row r="151">
      <c r="A151" s="5" t="inlineStr">
        <is>
          <t>Regina King</t>
        </is>
      </c>
      <c r="B151" s="5" t="inlineStr">
        <is>
          <t>T2</t>
        </is>
      </c>
      <c r="C151" s="5" t="inlineStr">
        <is>
          <t>Established</t>
        </is>
      </c>
      <c r="D151" s="5" t="inlineStr">
        <is>
          <t>US/Intl</t>
        </is>
      </c>
      <c r="E151" s="5" t="inlineStr">
        <is>
          <t>Prestige drama</t>
        </is>
      </c>
      <c r="F151" s="5" t="inlineStr">
        <is>
          <t>Drama,Biopic,Historical/Epic</t>
        </is>
      </c>
      <c r="G151" s="5" t="inlineStr">
        <is>
          <t>Mid/Studio</t>
        </is>
      </c>
      <c r="H151" s="5" t="inlineStr">
        <is>
          <t>character-forward, cinematic</t>
        </is>
      </c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>
        <is>
          <t>Seeded</t>
        </is>
      </c>
      <c r="S151" s="5" t="inlineStr">
        <is>
          <t>2026-01-29</t>
        </is>
      </c>
      <c r="T151" s="5" t="inlineStr">
        <is>
          <t>https://en.wikipedia.org/w/index.php?search=Regina+King</t>
        </is>
      </c>
      <c r="U151" s="5" t="inlineStr">
        <is>
          <t>https://www.imdb.com/find/?q=Regina+King&amp;s=nm</t>
        </is>
      </c>
      <c r="AO151" s="19">
        <f>IFERROR(VLOOKUP(AN151,BUDGET_BANDS!$A$2:$C$9,2,FALSE),"")</f>
        <v/>
      </c>
      <c r="AP151" s="19">
        <f>IFERROR(VLOOKUP(AN151,BUDGET_BANDS!$A$2:$C$9,3,FALSE),"")</f>
        <v/>
      </c>
    </row>
    <row r="152">
      <c r="A152" s="5" t="inlineStr">
        <is>
          <t>Reinaldo Marcus Green</t>
        </is>
      </c>
      <c r="B152" s="5" t="inlineStr">
        <is>
          <t>T2</t>
        </is>
      </c>
      <c r="C152" s="5" t="inlineStr">
        <is>
          <t>Established</t>
        </is>
      </c>
      <c r="D152" s="5" t="inlineStr">
        <is>
          <t>US/Intl</t>
        </is>
      </c>
      <c r="E152" s="5" t="inlineStr">
        <is>
          <t>Prestige drama</t>
        </is>
      </c>
      <c r="F152" s="5" t="inlineStr">
        <is>
          <t>Drama,Biopic,Historical/Epic</t>
        </is>
      </c>
      <c r="G152" s="5" t="inlineStr">
        <is>
          <t>Mid/Studio</t>
        </is>
      </c>
      <c r="H152" s="5" t="inlineStr">
        <is>
          <t>character-forward, cinematic</t>
        </is>
      </c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>
        <is>
          <t>Seeded</t>
        </is>
      </c>
      <c r="S152" s="5" t="inlineStr">
        <is>
          <t>2026-01-29</t>
        </is>
      </c>
      <c r="T152" s="5" t="inlineStr">
        <is>
          <t>https://en.wikipedia.org/w/index.php?search=Reinaldo+Marcus+Green</t>
        </is>
      </c>
      <c r="U152" s="5" t="inlineStr">
        <is>
          <t>https://www.imdb.com/find/?q=Reinaldo+Marcus+Green&amp;s=nm</t>
        </is>
      </c>
      <c r="AO152" s="19">
        <f>IFERROR(VLOOKUP(AN152,BUDGET_BANDS!$A$2:$C$9,2,FALSE),"")</f>
        <v/>
      </c>
      <c r="AP152" s="19">
        <f>IFERROR(VLOOKUP(AN152,BUDGET_BANDS!$A$2:$C$9,3,FALSE),"")</f>
        <v/>
      </c>
    </row>
    <row r="153">
      <c r="A153" s="5" t="inlineStr">
        <is>
          <t>Rich Moore</t>
        </is>
      </c>
      <c r="B153" s="5" t="inlineStr">
        <is>
          <t>T2</t>
        </is>
      </c>
      <c r="C153" s="5" t="inlineStr">
        <is>
          <t>Established</t>
        </is>
      </c>
      <c r="D153" s="5" t="inlineStr">
        <is>
          <t>US/Intl</t>
        </is>
      </c>
      <c r="E153" s="5" t="inlineStr">
        <is>
          <t>Animation</t>
        </is>
      </c>
      <c r="F153" s="5" t="inlineStr">
        <is>
          <t>Family,Fantasy</t>
        </is>
      </c>
      <c r="G153" s="5" t="inlineStr">
        <is>
          <t>Studio</t>
        </is>
      </c>
      <c r="H153" s="5" t="inlineStr">
        <is>
          <t>animated, family</t>
        </is>
      </c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>
        <is>
          <t>Seeded</t>
        </is>
      </c>
      <c r="S153" s="5" t="inlineStr">
        <is>
          <t>2026-01-29</t>
        </is>
      </c>
      <c r="T153" s="5" t="inlineStr">
        <is>
          <t>https://en.wikipedia.org/w/index.php?search=Rich+Moore</t>
        </is>
      </c>
      <c r="U153" s="5" t="inlineStr">
        <is>
          <t>https://www.imdb.com/find/?q=Rich+Moore&amp;s=nm</t>
        </is>
      </c>
      <c r="AO153" s="19">
        <f>IFERROR(VLOOKUP(AN153,BUDGET_BANDS!$A$2:$C$9,2,FALSE),"")</f>
        <v/>
      </c>
      <c r="AP153" s="19">
        <f>IFERROR(VLOOKUP(AN153,BUDGET_BANDS!$A$2:$C$9,3,FALSE),"")</f>
        <v/>
      </c>
    </row>
    <row r="154">
      <c r="A154" s="5" t="inlineStr">
        <is>
          <t>Richard Linklater</t>
        </is>
      </c>
      <c r="B154" s="5" t="inlineStr">
        <is>
          <t>T2</t>
        </is>
      </c>
      <c r="C154" s="5" t="inlineStr">
        <is>
          <t>Established</t>
        </is>
      </c>
      <c r="D154" s="5" t="inlineStr">
        <is>
          <t>US/Intl</t>
        </is>
      </c>
      <c r="E154" s="5" t="inlineStr">
        <is>
          <t>Prestige drama</t>
        </is>
      </c>
      <c r="F154" s="5" t="inlineStr">
        <is>
          <t>Drama,Biopic,Historical/Epic</t>
        </is>
      </c>
      <c r="G154" s="5" t="inlineStr">
        <is>
          <t>Mid/Studio</t>
        </is>
      </c>
      <c r="H154" s="5" t="inlineStr">
        <is>
          <t>character-forward, cinematic</t>
        </is>
      </c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>
        <is>
          <t>Seeded</t>
        </is>
      </c>
      <c r="S154" s="5" t="inlineStr">
        <is>
          <t>2026-01-29</t>
        </is>
      </c>
      <c r="T154" s="5" t="inlineStr">
        <is>
          <t>https://en.wikipedia.org/w/index.php?search=Richard+Linklater</t>
        </is>
      </c>
      <c r="U154" s="5" t="inlineStr">
        <is>
          <t>https://www.imdb.com/find/?q=Richard+Linklater&amp;s=nm</t>
        </is>
      </c>
      <c r="AO154" s="19">
        <f>IFERROR(VLOOKUP(AN154,BUDGET_BANDS!$A$2:$C$9,2,FALSE),"")</f>
        <v/>
      </c>
      <c r="AP154" s="19">
        <f>IFERROR(VLOOKUP(AN154,BUDGET_BANDS!$A$2:$C$9,3,FALSE),"")</f>
        <v/>
      </c>
    </row>
    <row r="155">
      <c r="A155" s="5" t="inlineStr">
        <is>
          <t>Rob Letterman</t>
        </is>
      </c>
      <c r="B155" s="5" t="inlineStr">
        <is>
          <t>T2</t>
        </is>
      </c>
      <c r="C155" s="5" t="inlineStr">
        <is>
          <t>Established</t>
        </is>
      </c>
      <c r="D155" s="5" t="inlineStr">
        <is>
          <t>US/Intl</t>
        </is>
      </c>
      <c r="E155" s="5" t="inlineStr">
        <is>
          <t>Family</t>
        </is>
      </c>
      <c r="F155" s="5" t="inlineStr">
        <is>
          <t>Fantasy,Adventure,Animation</t>
        </is>
      </c>
      <c r="G155" s="5" t="inlineStr">
        <is>
          <t>Studio/Tentpole</t>
        </is>
      </c>
      <c r="H155" s="5" t="inlineStr">
        <is>
          <t>accessible, emotional</t>
        </is>
      </c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>
        <is>
          <t>Seeded</t>
        </is>
      </c>
      <c r="S155" s="5" t="inlineStr">
        <is>
          <t>2026-01-29</t>
        </is>
      </c>
      <c r="T155" s="5" t="inlineStr">
        <is>
          <t>https://en.wikipedia.org/w/index.php?search=Rob+Letterman</t>
        </is>
      </c>
      <c r="U155" s="5" t="inlineStr">
        <is>
          <t>https://www.imdb.com/find/?q=Rob+Letterman&amp;s=nm</t>
        </is>
      </c>
      <c r="AO155" s="19">
        <f>IFERROR(VLOOKUP(AN155,BUDGET_BANDS!$A$2:$C$9,2,FALSE),"")</f>
        <v/>
      </c>
      <c r="AP155" s="19">
        <f>IFERROR(VLOOKUP(AN155,BUDGET_BANDS!$A$2:$C$9,3,FALSE),"")</f>
        <v/>
      </c>
    </row>
    <row r="156">
      <c r="A156" s="5" t="inlineStr">
        <is>
          <t>Robert Eggers</t>
        </is>
      </c>
      <c r="B156" s="5" t="inlineStr">
        <is>
          <t>T2</t>
        </is>
      </c>
      <c r="C156" s="5" t="inlineStr">
        <is>
          <t>Hot (prestige horror)</t>
        </is>
      </c>
      <c r="D156" s="5" t="inlineStr"/>
      <c r="E156" s="5" t="inlineStr">
        <is>
          <t>Period horror</t>
        </is>
      </c>
      <c r="F156" s="5" t="inlineStr">
        <is>
          <t>Mythic drama</t>
        </is>
      </c>
      <c r="G156" s="5" t="inlineStr">
        <is>
          <t>$10M–$60M</t>
        </is>
      </c>
      <c r="H156" s="5" t="inlineStr">
        <is>
          <t>Period authenticity, gothic atmosphere</t>
        </is>
      </c>
      <c r="I156" s="5" t="inlineStr">
        <is>
          <t>Nosferatu (2024); The Northman (2022); The Lighthouse (2019)</t>
        </is>
      </c>
      <c r="J156" s="5" t="inlineStr">
        <is>
          <t>Nosferatu</t>
        </is>
      </c>
      <c r="K156" s="5" t="n">
        <v>2024</v>
      </c>
      <c r="L156" s="5" t="inlineStr">
        <is>
          <t>Theatrical</t>
        </is>
      </c>
      <c r="M156" s="5" t="inlineStr">
        <is>
          <t>Werwulf</t>
        </is>
      </c>
      <c r="N156" s="5" t="inlineStr">
        <is>
          <t>Announced</t>
        </is>
      </c>
      <c r="O156" s="5" t="n">
        <v>3</v>
      </c>
      <c r="P156" s="5" t="inlineStr">
        <is>
          <t>Great for period/horror; reliable for lane match.</t>
        </is>
      </c>
      <c r="Q156" s="5" t="inlineStr">
        <is>
          <t>Period builds/costumes; specialized dialect work.</t>
        </is>
      </c>
      <c r="R156" s="5" t="inlineStr">
        <is>
          <t>In TOP sheet</t>
        </is>
      </c>
      <c r="S156" s="5" t="inlineStr">
        <is>
          <t>2026-01-29</t>
        </is>
      </c>
      <c r="T156" s="5" t="inlineStr">
        <is>
          <t>https://en.wikipedia.org/w/index.php?search=Robert+Eggers</t>
        </is>
      </c>
      <c r="U156" s="5" t="inlineStr">
        <is>
          <t>https://www.imdb.com/find/?q=Robert+Eggers&amp;s=nm</t>
        </is>
      </c>
      <c r="AO156" s="19">
        <f>IFERROR(VLOOKUP(AN156,BUDGET_BANDS!$A$2:$C$9,2,FALSE),"")</f>
        <v/>
      </c>
      <c r="AP156" s="19">
        <f>IFERROR(VLOOKUP(AN156,BUDGET_BANDS!$A$2:$C$9,3,FALSE),"")</f>
        <v/>
      </c>
    </row>
    <row r="157">
      <c r="A157" s="5" t="inlineStr">
        <is>
          <t>Robert Rodriguez</t>
        </is>
      </c>
      <c r="B157" s="5" t="inlineStr">
        <is>
          <t>T2</t>
        </is>
      </c>
      <c r="C157" s="5" t="inlineStr">
        <is>
          <t>Established</t>
        </is>
      </c>
      <c r="D157" s="5" t="inlineStr">
        <is>
          <t>US/Intl</t>
        </is>
      </c>
      <c r="E157" s="5" t="inlineStr">
        <is>
          <t>Action</t>
        </is>
      </c>
      <c r="F157" s="5" t="inlineStr">
        <is>
          <t>Thriller/Mystery,Crime/Heist</t>
        </is>
      </c>
      <c r="G157" s="5" t="inlineStr">
        <is>
          <t>Studio/Mid</t>
        </is>
      </c>
      <c r="H157" s="5" t="inlineStr">
        <is>
          <t>propulsive, commercial</t>
        </is>
      </c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>
        <is>
          <t>Seeded</t>
        </is>
      </c>
      <c r="S157" s="5" t="inlineStr">
        <is>
          <t>2026-01-29</t>
        </is>
      </c>
      <c r="T157" s="5" t="inlineStr">
        <is>
          <t>https://en.wikipedia.org/w/index.php?search=Robert+Rodriguez</t>
        </is>
      </c>
      <c r="U157" s="5" t="inlineStr">
        <is>
          <t>https://www.imdb.com/find/?q=Robert+Rodriguez&amp;s=nm</t>
        </is>
      </c>
      <c r="AO157" s="19">
        <f>IFERROR(VLOOKUP(AN157,BUDGET_BANDS!$A$2:$C$9,2,FALSE),"")</f>
        <v/>
      </c>
      <c r="AP157" s="19">
        <f>IFERROR(VLOOKUP(AN157,BUDGET_BANDS!$A$2:$C$9,3,FALSE),"")</f>
        <v/>
      </c>
    </row>
    <row r="158">
      <c r="A158" s="5" t="inlineStr">
        <is>
          <t>Robert Schwentke</t>
        </is>
      </c>
      <c r="B158" s="5" t="inlineStr">
        <is>
          <t>T2</t>
        </is>
      </c>
      <c r="C158" s="5" t="inlineStr">
        <is>
          <t>Established</t>
        </is>
      </c>
      <c r="D158" s="5" t="inlineStr">
        <is>
          <t>US/Intl</t>
        </is>
      </c>
      <c r="E158" s="5" t="inlineStr">
        <is>
          <t>Action</t>
        </is>
      </c>
      <c r="F158" s="5" t="inlineStr">
        <is>
          <t>Thriller/Mystery,Crime/Heist</t>
        </is>
      </c>
      <c r="G158" s="5" t="inlineStr">
        <is>
          <t>Studio/Mid</t>
        </is>
      </c>
      <c r="H158" s="5" t="inlineStr">
        <is>
          <t>propulsive, commercial</t>
        </is>
      </c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>
        <is>
          <t>Seeded</t>
        </is>
      </c>
      <c r="S158" s="5" t="inlineStr">
        <is>
          <t>2026-01-29</t>
        </is>
      </c>
      <c r="T158" s="5" t="inlineStr">
        <is>
          <t>https://en.wikipedia.org/w/index.php?search=Robert+Schwentke</t>
        </is>
      </c>
      <c r="U158" s="5" t="inlineStr">
        <is>
          <t>https://www.imdb.com/find/?q=Robert+Schwentke&amp;s=nm</t>
        </is>
      </c>
      <c r="AO158" s="19">
        <f>IFERROR(VLOOKUP(AN158,BUDGET_BANDS!$A$2:$C$9,2,FALSE),"")</f>
        <v/>
      </c>
      <c r="AP158" s="19">
        <f>IFERROR(VLOOKUP(AN158,BUDGET_BANDS!$A$2:$C$9,3,FALSE),"")</f>
        <v/>
      </c>
    </row>
    <row r="159">
      <c r="A159" s="5" t="inlineStr">
        <is>
          <t>Robert Zemeckis</t>
        </is>
      </c>
      <c r="B159" s="5" t="inlineStr">
        <is>
          <t>T2</t>
        </is>
      </c>
      <c r="C159" s="5" t="inlineStr">
        <is>
          <t>Established</t>
        </is>
      </c>
      <c r="D159" s="5" t="inlineStr">
        <is>
          <t>US/Intl</t>
        </is>
      </c>
      <c r="E159" s="5" t="inlineStr">
        <is>
          <t>Family</t>
        </is>
      </c>
      <c r="F159" s="5" t="inlineStr">
        <is>
          <t>Fantasy,Adventure,Animation</t>
        </is>
      </c>
      <c r="G159" s="5" t="inlineStr">
        <is>
          <t>Studio/Tentpole</t>
        </is>
      </c>
      <c r="H159" s="5" t="inlineStr">
        <is>
          <t>accessible, emotional</t>
        </is>
      </c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>
        <is>
          <t>Seeded</t>
        </is>
      </c>
      <c r="S159" s="5" t="inlineStr">
        <is>
          <t>2026-01-29</t>
        </is>
      </c>
      <c r="T159" s="5" t="inlineStr">
        <is>
          <t>https://en.wikipedia.org/w/index.php?search=Robert+Zemeckis</t>
        </is>
      </c>
      <c r="U159" s="5" t="inlineStr">
        <is>
          <t>https://www.imdb.com/find/?q=Robert+Zemeckis&amp;s=nm</t>
        </is>
      </c>
      <c r="AO159" s="19">
        <f>IFERROR(VLOOKUP(AN159,BUDGET_BANDS!$A$2:$C$9,2,FALSE),"")</f>
        <v/>
      </c>
      <c r="AP159" s="19">
        <f>IFERROR(VLOOKUP(AN159,BUDGET_BANDS!$A$2:$C$9,3,FALSE),"")</f>
        <v/>
      </c>
    </row>
    <row r="160">
      <c r="A160" s="5" t="inlineStr">
        <is>
          <t>Ruben Fleischer</t>
        </is>
      </c>
      <c r="B160" s="5" t="inlineStr">
        <is>
          <t>T2</t>
        </is>
      </c>
      <c r="C160" s="5" t="inlineStr">
        <is>
          <t>Established</t>
        </is>
      </c>
      <c r="D160" s="5" t="inlineStr">
        <is>
          <t>US/Intl</t>
        </is>
      </c>
      <c r="E160" s="5" t="inlineStr">
        <is>
          <t>Action</t>
        </is>
      </c>
      <c r="F160" s="5" t="inlineStr">
        <is>
          <t>Thriller/Mystery,Crime/Heist</t>
        </is>
      </c>
      <c r="G160" s="5" t="inlineStr">
        <is>
          <t>Studio/Mid</t>
        </is>
      </c>
      <c r="H160" s="5" t="inlineStr">
        <is>
          <t>propulsive, commercial</t>
        </is>
      </c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>
        <is>
          <t>Seeded</t>
        </is>
      </c>
      <c r="S160" s="5" t="inlineStr">
        <is>
          <t>2026-01-29</t>
        </is>
      </c>
      <c r="T160" s="5" t="inlineStr">
        <is>
          <t>https://en.wikipedia.org/w/index.php?search=Ruben+Fleischer</t>
        </is>
      </c>
      <c r="U160" s="5" t="inlineStr">
        <is>
          <t>https://www.imdb.com/find/?q=Ruben+Fleischer&amp;s=nm</t>
        </is>
      </c>
      <c r="AO160" s="19">
        <f>IFERROR(VLOOKUP(AN160,BUDGET_BANDS!$A$2:$C$9,2,FALSE),"")</f>
        <v/>
      </c>
      <c r="AP160" s="19">
        <f>IFERROR(VLOOKUP(AN160,BUDGET_BANDS!$A$2:$C$9,3,FALSE),"")</f>
        <v/>
      </c>
    </row>
    <row r="161">
      <c r="A161" s="5" t="inlineStr">
        <is>
          <t>Sam Raimi</t>
        </is>
      </c>
      <c r="B161" s="5" t="inlineStr">
        <is>
          <t>T2</t>
        </is>
      </c>
      <c r="C161" s="5" t="inlineStr">
        <is>
          <t>Established</t>
        </is>
      </c>
      <c r="D161" s="5" t="inlineStr">
        <is>
          <t>US/Intl</t>
        </is>
      </c>
      <c r="E161" s="5" t="inlineStr">
        <is>
          <t>Family</t>
        </is>
      </c>
      <c r="F161" s="5" t="inlineStr">
        <is>
          <t>Fantasy,Adventure,Animation</t>
        </is>
      </c>
      <c r="G161" s="5" t="inlineStr">
        <is>
          <t>Studio/Tentpole</t>
        </is>
      </c>
      <c r="H161" s="5" t="inlineStr">
        <is>
          <t>accessible, emotional</t>
        </is>
      </c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>
        <is>
          <t>Seeded</t>
        </is>
      </c>
      <c r="S161" s="5" t="inlineStr">
        <is>
          <t>2026-01-29</t>
        </is>
      </c>
      <c r="T161" s="5" t="inlineStr">
        <is>
          <t>https://en.wikipedia.org/w/index.php?search=Sam+Raimi</t>
        </is>
      </c>
      <c r="U161" s="5" t="inlineStr">
        <is>
          <t>https://www.imdb.com/find/?q=Sam+Raimi&amp;s=nm</t>
        </is>
      </c>
      <c r="AO161" s="19">
        <f>IFERROR(VLOOKUP(AN161,BUDGET_BANDS!$A$2:$C$9,2,FALSE),"")</f>
        <v/>
      </c>
      <c r="AP161" s="19">
        <f>IFERROR(VLOOKUP(AN161,BUDGET_BANDS!$A$2:$C$9,3,FALSE),"")</f>
        <v/>
      </c>
    </row>
    <row r="162">
      <c r="A162" s="5" t="inlineStr">
        <is>
          <t>Sarah Polley</t>
        </is>
      </c>
      <c r="B162" s="5" t="inlineStr">
        <is>
          <t>T2</t>
        </is>
      </c>
      <c r="C162" s="5" t="inlineStr">
        <is>
          <t>Established</t>
        </is>
      </c>
      <c r="D162" s="5" t="inlineStr">
        <is>
          <t>US/Intl</t>
        </is>
      </c>
      <c r="E162" s="5" t="inlineStr">
        <is>
          <t>Prestige drama</t>
        </is>
      </c>
      <c r="F162" s="5" t="inlineStr">
        <is>
          <t>Drama,Biopic,Historical/Epic</t>
        </is>
      </c>
      <c r="G162" s="5" t="inlineStr">
        <is>
          <t>Mid/Studio</t>
        </is>
      </c>
      <c r="H162" s="5" t="inlineStr">
        <is>
          <t>character-forward, cinematic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>
        <is>
          <t>Seeded</t>
        </is>
      </c>
      <c r="S162" s="5" t="inlineStr">
        <is>
          <t>2026-01-29</t>
        </is>
      </c>
      <c r="T162" s="5" t="inlineStr">
        <is>
          <t>https://en.wikipedia.org/w/index.php?search=Sarah+Polley</t>
        </is>
      </c>
      <c r="U162" s="5" t="inlineStr">
        <is>
          <t>https://www.imdb.com/find/?q=Sarah+Polley&amp;s=nm</t>
        </is>
      </c>
      <c r="AO162" s="19">
        <f>IFERROR(VLOOKUP(AN162,BUDGET_BANDS!$A$2:$C$9,2,FALSE),"")</f>
        <v/>
      </c>
      <c r="AP162" s="19">
        <f>IFERROR(VLOOKUP(AN162,BUDGET_BANDS!$A$2:$C$9,3,FALSE),"")</f>
        <v/>
      </c>
    </row>
    <row r="163">
      <c r="A163" s="5" t="inlineStr">
        <is>
          <t>Scott Derrickson</t>
        </is>
      </c>
      <c r="B163" s="5" t="inlineStr">
        <is>
          <t>T2</t>
        </is>
      </c>
      <c r="C163" s="5" t="inlineStr">
        <is>
          <t>Established</t>
        </is>
      </c>
      <c r="D163" s="5" t="inlineStr">
        <is>
          <t>US/Intl</t>
        </is>
      </c>
      <c r="E163" s="5" t="inlineStr">
        <is>
          <t>Horror</t>
        </is>
      </c>
      <c r="F163" s="5" t="inlineStr">
        <is>
          <t>Thriller/Mystery</t>
        </is>
      </c>
      <c r="G163" s="5" t="inlineStr">
        <is>
          <t>Low/Mid/Studio</t>
        </is>
      </c>
      <c r="H163" s="5" t="inlineStr">
        <is>
          <t>tense, atmospheric</t>
        </is>
      </c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>
        <is>
          <t>Seeded</t>
        </is>
      </c>
      <c r="S163" s="5" t="inlineStr">
        <is>
          <t>2026-01-29</t>
        </is>
      </c>
      <c r="T163" s="5" t="inlineStr">
        <is>
          <t>https://en.wikipedia.org/w/index.php?search=Scott+Derrickson</t>
        </is>
      </c>
      <c r="U163" s="5" t="inlineStr">
        <is>
          <t>https://www.imdb.com/find/?q=Scott+Derrickson&amp;s=nm</t>
        </is>
      </c>
      <c r="AO163" s="19">
        <f>IFERROR(VLOOKUP(AN163,BUDGET_BANDS!$A$2:$C$9,2,FALSE),"")</f>
        <v/>
      </c>
      <c r="AP163" s="19">
        <f>IFERROR(VLOOKUP(AN163,BUDGET_BANDS!$A$2:$C$9,3,FALSE),"")</f>
        <v/>
      </c>
    </row>
    <row r="164">
      <c r="A164" s="5" t="inlineStr">
        <is>
          <t>Sofia Coppola</t>
        </is>
      </c>
      <c r="B164" s="5" t="inlineStr">
        <is>
          <t>T2</t>
        </is>
      </c>
      <c r="C164" s="5" t="inlineStr">
        <is>
          <t>Established</t>
        </is>
      </c>
      <c r="D164" s="5" t="inlineStr">
        <is>
          <t>US/Intl</t>
        </is>
      </c>
      <c r="E164" s="5" t="inlineStr">
        <is>
          <t>Prestige drama</t>
        </is>
      </c>
      <c r="F164" s="5" t="inlineStr">
        <is>
          <t>Drama,Biopic,Historical/Epic</t>
        </is>
      </c>
      <c r="G164" s="5" t="inlineStr">
        <is>
          <t>Mid/Studio</t>
        </is>
      </c>
      <c r="H164" s="5" t="inlineStr">
        <is>
          <t>character-forward, cinematic</t>
        </is>
      </c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>
        <is>
          <t>Seeded</t>
        </is>
      </c>
      <c r="S164" s="5" t="inlineStr">
        <is>
          <t>2026-01-29</t>
        </is>
      </c>
      <c r="T164" s="5" t="inlineStr">
        <is>
          <t>https://en.wikipedia.org/w/index.php?search=Sofia+Coppola</t>
        </is>
      </c>
      <c r="U164" s="5" t="inlineStr">
        <is>
          <t>https://www.imdb.com/find/?q=Sofia+Coppola&amp;s=nm</t>
        </is>
      </c>
      <c r="AO164" s="19">
        <f>IFERROR(VLOOKUP(AN164,BUDGET_BANDS!$A$2:$C$9,2,FALSE),"")</f>
        <v/>
      </c>
      <c r="AP164" s="19">
        <f>IFERROR(VLOOKUP(AN164,BUDGET_BANDS!$A$2:$C$9,3,FALSE),"")</f>
        <v/>
      </c>
    </row>
    <row r="165">
      <c r="A165" s="5" t="inlineStr">
        <is>
          <t>Spike Jonze</t>
        </is>
      </c>
      <c r="B165" s="5" t="inlineStr">
        <is>
          <t>T2</t>
        </is>
      </c>
      <c r="C165" s="5" t="inlineStr">
        <is>
          <t>Established</t>
        </is>
      </c>
      <c r="D165" s="5" t="inlineStr">
        <is>
          <t>US/Intl</t>
        </is>
      </c>
      <c r="E165" s="5" t="inlineStr">
        <is>
          <t>Prestige drama</t>
        </is>
      </c>
      <c r="F165" s="5" t="inlineStr">
        <is>
          <t>Drama,Biopic,Historical/Epic</t>
        </is>
      </c>
      <c r="G165" s="5" t="inlineStr">
        <is>
          <t>Mid/Studio</t>
        </is>
      </c>
      <c r="H165" s="5" t="inlineStr">
        <is>
          <t>character-forward, cinematic</t>
        </is>
      </c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>
        <is>
          <t>Seeded</t>
        </is>
      </c>
      <c r="S165" s="5" t="inlineStr">
        <is>
          <t>2026-01-29</t>
        </is>
      </c>
      <c r="T165" s="5" t="inlineStr">
        <is>
          <t>https://en.wikipedia.org/w/index.php?search=Spike+Jonze</t>
        </is>
      </c>
      <c r="U165" s="5" t="inlineStr">
        <is>
          <t>https://www.imdb.com/find/?q=Spike+Jonze&amp;s=nm</t>
        </is>
      </c>
      <c r="AO165" s="19">
        <f>IFERROR(VLOOKUP(AN165,BUDGET_BANDS!$A$2:$C$9,2,FALSE),"")</f>
        <v/>
      </c>
      <c r="AP165" s="19">
        <f>IFERROR(VLOOKUP(AN165,BUDGET_BANDS!$A$2:$C$9,3,FALSE),"")</f>
        <v/>
      </c>
    </row>
    <row r="166">
      <c r="A166" s="5" t="inlineStr">
        <is>
          <t>Stephen Daldry</t>
        </is>
      </c>
      <c r="B166" s="5" t="inlineStr">
        <is>
          <t>T2</t>
        </is>
      </c>
      <c r="C166" s="5" t="inlineStr">
        <is>
          <t>Established</t>
        </is>
      </c>
      <c r="D166" s="5" t="inlineStr">
        <is>
          <t>US/Intl</t>
        </is>
      </c>
      <c r="E166" s="5" t="inlineStr">
        <is>
          <t>Prestige drama</t>
        </is>
      </c>
      <c r="F166" s="5" t="inlineStr">
        <is>
          <t>Drama,Biopic,Historical/Epic</t>
        </is>
      </c>
      <c r="G166" s="5" t="inlineStr">
        <is>
          <t>Mid/Studio</t>
        </is>
      </c>
      <c r="H166" s="5" t="inlineStr">
        <is>
          <t>character-forward, cinematic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>
        <is>
          <t>Seeded</t>
        </is>
      </c>
      <c r="S166" s="5" t="inlineStr">
        <is>
          <t>2026-01-29</t>
        </is>
      </c>
      <c r="T166" s="5" t="inlineStr">
        <is>
          <t>https://en.wikipedia.org/w/index.php?search=Stephen+Daldry</t>
        </is>
      </c>
      <c r="U166" s="5" t="inlineStr">
        <is>
          <t>https://www.imdb.com/find/?q=Stephen+Daldry&amp;s=nm</t>
        </is>
      </c>
      <c r="AO166" s="19">
        <f>IFERROR(VLOOKUP(AN166,BUDGET_BANDS!$A$2:$C$9,2,FALSE),"")</f>
        <v/>
      </c>
      <c r="AP166" s="19">
        <f>IFERROR(VLOOKUP(AN166,BUDGET_BANDS!$A$2:$C$9,3,FALSE),"")</f>
        <v/>
      </c>
    </row>
    <row r="167">
      <c r="A167" s="5" t="inlineStr">
        <is>
          <t>Stephen Frears</t>
        </is>
      </c>
      <c r="B167" s="5" t="inlineStr">
        <is>
          <t>T2</t>
        </is>
      </c>
      <c r="C167" s="5" t="inlineStr">
        <is>
          <t>Established</t>
        </is>
      </c>
      <c r="D167" s="5" t="inlineStr">
        <is>
          <t>US/Intl</t>
        </is>
      </c>
      <c r="E167" s="5" t="inlineStr">
        <is>
          <t>Prestige drama</t>
        </is>
      </c>
      <c r="F167" s="5" t="inlineStr">
        <is>
          <t>Drama,Biopic,Historical/Epic</t>
        </is>
      </c>
      <c r="G167" s="5" t="inlineStr">
        <is>
          <t>Mid/Studio</t>
        </is>
      </c>
      <c r="H167" s="5" t="inlineStr">
        <is>
          <t>character-forward, cinematic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>
        <is>
          <t>Seeded</t>
        </is>
      </c>
      <c r="S167" s="5" t="inlineStr">
        <is>
          <t>2026-01-29</t>
        </is>
      </c>
      <c r="T167" s="5" t="inlineStr">
        <is>
          <t>https://en.wikipedia.org/w/index.php?search=Stephen+Frears</t>
        </is>
      </c>
      <c r="U167" s="5" t="inlineStr">
        <is>
          <t>https://www.imdb.com/find/?q=Stephen+Frears&amp;s=nm</t>
        </is>
      </c>
      <c r="AO167" s="19">
        <f>IFERROR(VLOOKUP(AN167,BUDGET_BANDS!$A$2:$C$9,2,FALSE),"")</f>
        <v/>
      </c>
      <c r="AP167" s="19">
        <f>IFERROR(VLOOKUP(AN167,BUDGET_BANDS!$A$2:$C$9,3,FALSE),"")</f>
        <v/>
      </c>
    </row>
    <row r="168">
      <c r="A168" s="5" t="inlineStr">
        <is>
          <t>Steve McQueen</t>
        </is>
      </c>
      <c r="B168" s="5" t="inlineStr">
        <is>
          <t>T2</t>
        </is>
      </c>
      <c r="C168" s="5" t="inlineStr">
        <is>
          <t>Prestige (selective)</t>
        </is>
      </c>
      <c r="D168" s="5" t="inlineStr"/>
      <c r="E168" s="5" t="inlineStr">
        <is>
          <t>Historical drama</t>
        </is>
      </c>
      <c r="F168" s="5" t="inlineStr">
        <is>
          <t>Thriller</t>
        </is>
      </c>
      <c r="G168" s="5" t="inlineStr">
        <is>
          <t>$10M–$80M</t>
        </is>
      </c>
      <c r="H168" s="5" t="inlineStr">
        <is>
          <t>Formally rigorous, intense</t>
        </is>
      </c>
      <c r="I168" s="5" t="inlineStr">
        <is>
          <t>Blitz (2024); Widows (2018); 12 Years a Slave (2013)</t>
        </is>
      </c>
      <c r="J168" s="5" t="inlineStr">
        <is>
          <t>Blitz</t>
        </is>
      </c>
      <c r="K168" s="5" t="n">
        <v>2024</v>
      </c>
      <c r="L168" s="5" t="inlineStr">
        <is>
          <t>Streamer (Apple TV+)</t>
        </is>
      </c>
      <c r="M168" s="5" t="inlineStr">
        <is>
          <t>TBA</t>
        </is>
      </c>
      <c r="N168" s="5" t="inlineStr">
        <is>
          <t>TBD</t>
        </is>
      </c>
      <c r="O168" s="5" t="n">
        <v>3</v>
      </c>
      <c r="P168" s="5" t="inlineStr">
        <is>
          <t>Awards/prestige lever.</t>
        </is>
      </c>
      <c r="Q168" s="5" t="inlineStr">
        <is>
          <t>Often formal approach; production depends on partners.</t>
        </is>
      </c>
      <c r="R168" s="5" t="inlineStr">
        <is>
          <t>In TOP sheet</t>
        </is>
      </c>
      <c r="S168" s="5" t="inlineStr">
        <is>
          <t>2026-01-29</t>
        </is>
      </c>
      <c r="T168" s="5" t="inlineStr">
        <is>
          <t>https://en.wikipedia.org/w/index.php?search=Steve+McQueen</t>
        </is>
      </c>
      <c r="U168" s="5" t="inlineStr">
        <is>
          <t>https://www.imdb.com/find/?q=Steve+McQueen&amp;s=nm</t>
        </is>
      </c>
      <c r="AO168" s="19">
        <f>IFERROR(VLOOKUP(AN168,BUDGET_BANDS!$A$2:$C$9,2,FALSE),"")</f>
        <v/>
      </c>
      <c r="AP168" s="19">
        <f>IFERROR(VLOOKUP(AN168,BUDGET_BANDS!$A$2:$C$9,3,FALSE),"")</f>
        <v/>
      </c>
    </row>
    <row r="169">
      <c r="A169" s="5" t="inlineStr">
        <is>
          <t>Susanne Bier</t>
        </is>
      </c>
      <c r="B169" s="5" t="inlineStr">
        <is>
          <t>T2</t>
        </is>
      </c>
      <c r="C169" s="5" t="inlineStr">
        <is>
          <t>Established</t>
        </is>
      </c>
      <c r="D169" s="5" t="inlineStr">
        <is>
          <t>US/Intl</t>
        </is>
      </c>
      <c r="E169" s="5" t="inlineStr">
        <is>
          <t>Prestige drama</t>
        </is>
      </c>
      <c r="F169" s="5" t="inlineStr">
        <is>
          <t>Drama,Biopic,Historical/Epic</t>
        </is>
      </c>
      <c r="G169" s="5" t="inlineStr">
        <is>
          <t>Mid/Studio</t>
        </is>
      </c>
      <c r="H169" s="5" t="inlineStr">
        <is>
          <t>character-forward, cinematic</t>
        </is>
      </c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>
        <is>
          <t>Seeded</t>
        </is>
      </c>
      <c r="S169" s="5" t="inlineStr">
        <is>
          <t>2026-01-29</t>
        </is>
      </c>
      <c r="T169" s="5" t="inlineStr">
        <is>
          <t>https://en.wikipedia.org/w/index.php?search=Susanne+Bier</t>
        </is>
      </c>
      <c r="U169" s="5" t="inlineStr">
        <is>
          <t>https://www.imdb.com/find/?q=Susanne+Bier&amp;s=nm</t>
        </is>
      </c>
      <c r="AO169" s="19">
        <f>IFERROR(VLOOKUP(AN169,BUDGET_BANDS!$A$2:$C$9,2,FALSE),"")</f>
        <v/>
      </c>
      <c r="AP169" s="19">
        <f>IFERROR(VLOOKUP(AN169,BUDGET_BANDS!$A$2:$C$9,3,FALSE),"")</f>
        <v/>
      </c>
    </row>
    <row r="170">
      <c r="A170" s="5" t="inlineStr">
        <is>
          <t>Takashi Miike</t>
        </is>
      </c>
      <c r="B170" s="5" t="inlineStr">
        <is>
          <t>T2</t>
        </is>
      </c>
      <c r="C170" s="5" t="inlineStr">
        <is>
          <t>Established</t>
        </is>
      </c>
      <c r="D170" s="5" t="inlineStr">
        <is>
          <t>US/Intl</t>
        </is>
      </c>
      <c r="E170" s="5" t="inlineStr">
        <is>
          <t>Horror</t>
        </is>
      </c>
      <c r="F170" s="5" t="inlineStr">
        <is>
          <t>Thriller/Mystery</t>
        </is>
      </c>
      <c r="G170" s="5" t="inlineStr">
        <is>
          <t>Low/Mid/Studio</t>
        </is>
      </c>
      <c r="H170" s="5" t="inlineStr">
        <is>
          <t>tense, atmospheric</t>
        </is>
      </c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>
        <is>
          <t>Seeded</t>
        </is>
      </c>
      <c r="S170" s="5" t="inlineStr">
        <is>
          <t>2026-01-29</t>
        </is>
      </c>
      <c r="T170" s="5" t="inlineStr">
        <is>
          <t>https://en.wikipedia.org/w/index.php?search=Takashi+Miike</t>
        </is>
      </c>
      <c r="U170" s="5" t="inlineStr">
        <is>
          <t>https://www.imdb.com/find/?q=Takashi+Miike&amp;s=nm</t>
        </is>
      </c>
      <c r="AO170" s="19">
        <f>IFERROR(VLOOKUP(AN170,BUDGET_BANDS!$A$2:$C$9,2,FALSE),"")</f>
        <v/>
      </c>
      <c r="AP170" s="19">
        <f>IFERROR(VLOOKUP(AN170,BUDGET_BANDS!$A$2:$C$9,3,FALSE),"")</f>
        <v/>
      </c>
    </row>
    <row r="171">
      <c r="A171" s="5" t="inlineStr">
        <is>
          <t>Tate Taylor</t>
        </is>
      </c>
      <c r="B171" s="5" t="inlineStr">
        <is>
          <t>T2</t>
        </is>
      </c>
      <c r="C171" s="5" t="inlineStr">
        <is>
          <t>Established</t>
        </is>
      </c>
      <c r="D171" s="5" t="inlineStr">
        <is>
          <t>US/Intl</t>
        </is>
      </c>
      <c r="E171" s="5" t="inlineStr">
        <is>
          <t>Prestige drama</t>
        </is>
      </c>
      <c r="F171" s="5" t="inlineStr">
        <is>
          <t>Drama,Biopic,Historical/Epic</t>
        </is>
      </c>
      <c r="G171" s="5" t="inlineStr">
        <is>
          <t>Mid/Studio</t>
        </is>
      </c>
      <c r="H171" s="5" t="inlineStr">
        <is>
          <t>character-forward, cinematic</t>
        </is>
      </c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>
        <is>
          <t>Seeded</t>
        </is>
      </c>
      <c r="S171" s="5" t="inlineStr">
        <is>
          <t>2026-01-29</t>
        </is>
      </c>
      <c r="T171" s="5" t="inlineStr">
        <is>
          <t>https://en.wikipedia.org/w/index.php?search=Tate+Taylor</t>
        </is>
      </c>
      <c r="U171" s="5" t="inlineStr">
        <is>
          <t>https://www.imdb.com/find/?q=Tate+Taylor&amp;s=nm</t>
        </is>
      </c>
      <c r="AO171" s="19">
        <f>IFERROR(VLOOKUP(AN171,BUDGET_BANDS!$A$2:$C$9,2,FALSE),"")</f>
        <v/>
      </c>
      <c r="AP171" s="19">
        <f>IFERROR(VLOOKUP(AN171,BUDGET_BANDS!$A$2:$C$9,3,FALSE),"")</f>
        <v/>
      </c>
    </row>
    <row r="172">
      <c r="A172" s="5" t="inlineStr">
        <is>
          <t>Ti West</t>
        </is>
      </c>
      <c r="B172" s="5" t="inlineStr">
        <is>
          <t>T2</t>
        </is>
      </c>
      <c r="C172" s="5" t="inlineStr">
        <is>
          <t>Established</t>
        </is>
      </c>
      <c r="D172" s="5" t="inlineStr">
        <is>
          <t>US/Intl</t>
        </is>
      </c>
      <c r="E172" s="5" t="inlineStr">
        <is>
          <t>Horror</t>
        </is>
      </c>
      <c r="F172" s="5" t="inlineStr">
        <is>
          <t>Thriller/Mystery</t>
        </is>
      </c>
      <c r="G172" s="5" t="inlineStr">
        <is>
          <t>Low/Mid/Studio</t>
        </is>
      </c>
      <c r="H172" s="5" t="inlineStr">
        <is>
          <t>tense, atmospheric</t>
        </is>
      </c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>
        <is>
          <t>Seeded</t>
        </is>
      </c>
      <c r="S172" s="5" t="inlineStr">
        <is>
          <t>2026-01-29</t>
        </is>
      </c>
      <c r="T172" s="5" t="inlineStr">
        <is>
          <t>https://en.wikipedia.org/w/index.php?search=Ti+West</t>
        </is>
      </c>
      <c r="U172" s="5" t="inlineStr">
        <is>
          <t>https://www.imdb.com/find/?q=Ti+West&amp;s=nm</t>
        </is>
      </c>
      <c r="AO172" s="19">
        <f>IFERROR(VLOOKUP(AN172,BUDGET_BANDS!$A$2:$C$9,2,FALSE),"")</f>
        <v/>
      </c>
      <c r="AP172" s="19">
        <f>IFERROR(VLOOKUP(AN172,BUDGET_BANDS!$A$2:$C$9,3,FALSE),"")</f>
        <v/>
      </c>
    </row>
    <row r="173">
      <c r="A173" s="5" t="inlineStr">
        <is>
          <t>Tim Burton</t>
        </is>
      </c>
      <c r="B173" s="5" t="inlineStr">
        <is>
          <t>T2</t>
        </is>
      </c>
      <c r="C173" s="5" t="inlineStr">
        <is>
          <t>Established</t>
        </is>
      </c>
      <c r="D173" s="5" t="inlineStr">
        <is>
          <t>US/Intl</t>
        </is>
      </c>
      <c r="E173" s="5" t="inlineStr">
        <is>
          <t>Family</t>
        </is>
      </c>
      <c r="F173" s="5" t="inlineStr">
        <is>
          <t>Fantasy,Adventure,Animation</t>
        </is>
      </c>
      <c r="G173" s="5" t="inlineStr">
        <is>
          <t>Studio/Tentpole</t>
        </is>
      </c>
      <c r="H173" s="5" t="inlineStr">
        <is>
          <t>accessible, emotional</t>
        </is>
      </c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>
        <is>
          <t>Seeded</t>
        </is>
      </c>
      <c r="S173" s="5" t="inlineStr">
        <is>
          <t>2026-01-29</t>
        </is>
      </c>
      <c r="T173" s="5" t="inlineStr">
        <is>
          <t>https://en.wikipedia.org/w/index.php?search=Tim+Burton</t>
        </is>
      </c>
      <c r="U173" s="5" t="inlineStr">
        <is>
          <t>https://www.imdb.com/find/?q=Tim+Burton&amp;s=nm</t>
        </is>
      </c>
      <c r="AO173" s="19">
        <f>IFERROR(VLOOKUP(AN173,BUDGET_BANDS!$A$2:$C$9,2,FALSE),"")</f>
        <v/>
      </c>
      <c r="AP173" s="19">
        <f>IFERROR(VLOOKUP(AN173,BUDGET_BANDS!$A$2:$C$9,3,FALSE),"")</f>
        <v/>
      </c>
    </row>
    <row r="174">
      <c r="A174" s="5" t="inlineStr">
        <is>
          <t>Todd Haynes</t>
        </is>
      </c>
      <c r="B174" s="5" t="inlineStr">
        <is>
          <t>T2</t>
        </is>
      </c>
      <c r="C174" s="5" t="inlineStr">
        <is>
          <t>Established</t>
        </is>
      </c>
      <c r="D174" s="5" t="inlineStr">
        <is>
          <t>US/Intl</t>
        </is>
      </c>
      <c r="E174" s="5" t="inlineStr">
        <is>
          <t>Prestige drama</t>
        </is>
      </c>
      <c r="F174" s="5" t="inlineStr">
        <is>
          <t>Drama,Biopic,Historical/Epic</t>
        </is>
      </c>
      <c r="G174" s="5" t="inlineStr">
        <is>
          <t>Mid/Studio</t>
        </is>
      </c>
      <c r="H174" s="5" t="inlineStr">
        <is>
          <t>character-forward, cinematic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>
        <is>
          <t>Seeded</t>
        </is>
      </c>
      <c r="S174" s="5" t="inlineStr">
        <is>
          <t>2026-01-29</t>
        </is>
      </c>
      <c r="T174" s="5" t="inlineStr">
        <is>
          <t>https://en.wikipedia.org/w/index.php?search=Todd+Haynes</t>
        </is>
      </c>
      <c r="U174" s="5" t="inlineStr">
        <is>
          <t>https://www.imdb.com/find/?q=Todd+Haynes&amp;s=nm</t>
        </is>
      </c>
      <c r="AO174" s="19">
        <f>IFERROR(VLOOKUP(AN174,BUDGET_BANDS!$A$2:$C$9,2,FALSE),"")</f>
        <v/>
      </c>
      <c r="AP174" s="19">
        <f>IFERROR(VLOOKUP(AN174,BUDGET_BANDS!$A$2:$C$9,3,FALSE),"")</f>
        <v/>
      </c>
    </row>
    <row r="175">
      <c r="A175" s="5" t="inlineStr">
        <is>
          <t>Todd Phillips</t>
        </is>
      </c>
      <c r="B175" s="5" t="inlineStr">
        <is>
          <t>T2</t>
        </is>
      </c>
      <c r="C175" s="5" t="inlineStr">
        <is>
          <t>Established</t>
        </is>
      </c>
      <c r="D175" s="5" t="inlineStr">
        <is>
          <t>US/UK</t>
        </is>
      </c>
      <c r="E175" s="5" t="inlineStr">
        <is>
          <t>Comedy</t>
        </is>
      </c>
      <c r="F175" s="5" t="inlineStr">
        <is>
          <t>Action-comedy,Drama</t>
        </is>
      </c>
      <c r="G175" s="5" t="inlineStr">
        <is>
          <t>Mid/Studio</t>
        </is>
      </c>
      <c r="H175" s="5" t="inlineStr">
        <is>
          <t>comedic, commercial</t>
        </is>
      </c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>
        <is>
          <t>Seeded</t>
        </is>
      </c>
      <c r="S175" s="5" t="inlineStr">
        <is>
          <t>2026-01-29</t>
        </is>
      </c>
      <c r="T175" s="5" t="inlineStr">
        <is>
          <t>https://en.wikipedia.org/w/index.php?search=Todd+Phillips</t>
        </is>
      </c>
      <c r="U175" s="5" t="inlineStr">
        <is>
          <t>https://www.imdb.com/find/?q=Todd+Phillips&amp;s=nm</t>
        </is>
      </c>
      <c r="AO175" s="19">
        <f>IFERROR(VLOOKUP(AN175,BUDGET_BANDS!$A$2:$C$9,2,FALSE),"")</f>
        <v/>
      </c>
      <c r="AP175" s="19">
        <f>IFERROR(VLOOKUP(AN175,BUDGET_BANDS!$A$2:$C$9,3,FALSE),"")</f>
        <v/>
      </c>
    </row>
    <row r="176">
      <c r="A176" s="5" t="inlineStr">
        <is>
          <t>Tom McCarthy</t>
        </is>
      </c>
      <c r="B176" s="5" t="inlineStr">
        <is>
          <t>T2</t>
        </is>
      </c>
      <c r="C176" s="5" t="inlineStr">
        <is>
          <t>Established</t>
        </is>
      </c>
      <c r="D176" s="5" t="inlineStr">
        <is>
          <t>US/Intl</t>
        </is>
      </c>
      <c r="E176" s="5" t="inlineStr">
        <is>
          <t>Prestige drama</t>
        </is>
      </c>
      <c r="F176" s="5" t="inlineStr">
        <is>
          <t>Drama,Biopic,Historical/Epic</t>
        </is>
      </c>
      <c r="G176" s="5" t="inlineStr">
        <is>
          <t>Mid/Studio</t>
        </is>
      </c>
      <c r="H176" s="5" t="inlineStr">
        <is>
          <t>character-forward, cinematic</t>
        </is>
      </c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>
        <is>
          <t>Seeded</t>
        </is>
      </c>
      <c r="S176" s="5" t="inlineStr">
        <is>
          <t>2026-01-29</t>
        </is>
      </c>
      <c r="T176" s="5" t="inlineStr">
        <is>
          <t>https://en.wikipedia.org/w/index.php?search=Tom+McCarthy</t>
        </is>
      </c>
      <c r="U176" s="5" t="inlineStr">
        <is>
          <t>https://www.imdb.com/find/?q=Tom+McCarthy&amp;s=nm</t>
        </is>
      </c>
      <c r="AO176" s="19">
        <f>IFERROR(VLOOKUP(AN176,BUDGET_BANDS!$A$2:$C$9,2,FALSE),"")</f>
        <v/>
      </c>
      <c r="AP176" s="19">
        <f>IFERROR(VLOOKUP(AN176,BUDGET_BANDS!$A$2:$C$9,3,FALSE),"")</f>
        <v/>
      </c>
    </row>
    <row r="177">
      <c r="A177" s="5" t="inlineStr">
        <is>
          <t>Tomm Moore</t>
        </is>
      </c>
      <c r="B177" s="5" t="inlineStr">
        <is>
          <t>T2</t>
        </is>
      </c>
      <c r="C177" s="5" t="inlineStr">
        <is>
          <t>Established</t>
        </is>
      </c>
      <c r="D177" s="5" t="inlineStr">
        <is>
          <t>US/Intl</t>
        </is>
      </c>
      <c r="E177" s="5" t="inlineStr">
        <is>
          <t>Animation</t>
        </is>
      </c>
      <c r="F177" s="5" t="inlineStr">
        <is>
          <t>Family,Fantasy</t>
        </is>
      </c>
      <c r="G177" s="5" t="inlineStr">
        <is>
          <t>Studio</t>
        </is>
      </c>
      <c r="H177" s="5" t="inlineStr">
        <is>
          <t>animated, family</t>
        </is>
      </c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>
        <is>
          <t>Seeded</t>
        </is>
      </c>
      <c r="S177" s="5" t="inlineStr">
        <is>
          <t>2026-01-29</t>
        </is>
      </c>
      <c r="T177" s="5" t="inlineStr">
        <is>
          <t>https://en.wikipedia.org/w/index.php?search=Tomm+Moore</t>
        </is>
      </c>
      <c r="U177" s="5" t="inlineStr">
        <is>
          <t>https://www.imdb.com/find/?q=Tomm+Moore&amp;s=nm</t>
        </is>
      </c>
      <c r="AO177" s="19">
        <f>IFERROR(VLOOKUP(AN177,BUDGET_BANDS!$A$2:$C$9,2,FALSE),"")</f>
        <v/>
      </c>
      <c r="AP177" s="19">
        <f>IFERROR(VLOOKUP(AN177,BUDGET_BANDS!$A$2:$C$9,3,FALSE),"")</f>
        <v/>
      </c>
    </row>
    <row r="178">
      <c r="A178" s="5" t="inlineStr">
        <is>
          <t>Tony Gilroy</t>
        </is>
      </c>
      <c r="B178" s="5" t="inlineStr">
        <is>
          <t>T2</t>
        </is>
      </c>
      <c r="C178" s="5" t="inlineStr">
        <is>
          <t>Established</t>
        </is>
      </c>
      <c r="D178" s="5" t="inlineStr">
        <is>
          <t>US/Intl</t>
        </is>
      </c>
      <c r="E178" s="5" t="inlineStr">
        <is>
          <t>Action</t>
        </is>
      </c>
      <c r="F178" s="5" t="inlineStr">
        <is>
          <t>Thriller/Mystery,Crime/Heist</t>
        </is>
      </c>
      <c r="G178" s="5" t="inlineStr">
        <is>
          <t>Studio/Mid</t>
        </is>
      </c>
      <c r="H178" s="5" t="inlineStr">
        <is>
          <t>propulsive, commercial</t>
        </is>
      </c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>
        <is>
          <t>Seeded</t>
        </is>
      </c>
      <c r="S178" s="5" t="inlineStr">
        <is>
          <t>2026-01-29</t>
        </is>
      </c>
      <c r="T178" s="5" t="inlineStr">
        <is>
          <t>https://en.wikipedia.org/w/index.php?search=Tony+Gilroy</t>
        </is>
      </c>
      <c r="U178" s="5" t="inlineStr">
        <is>
          <t>https://www.imdb.com/find/?q=Tony+Gilroy&amp;s=nm</t>
        </is>
      </c>
      <c r="AO178" s="19">
        <f>IFERROR(VLOOKUP(AN178,BUDGET_BANDS!$A$2:$C$9,2,FALSE),"")</f>
        <v/>
      </c>
      <c r="AP178" s="19">
        <f>IFERROR(VLOOKUP(AN178,BUDGET_BANDS!$A$2:$C$9,3,FALSE),"")</f>
        <v/>
      </c>
    </row>
    <row r="179">
      <c r="A179" s="5" t="inlineStr">
        <is>
          <t>Travis Knight</t>
        </is>
      </c>
      <c r="B179" s="5" t="inlineStr">
        <is>
          <t>T2</t>
        </is>
      </c>
      <c r="C179" s="5" t="inlineStr">
        <is>
          <t>Established</t>
        </is>
      </c>
      <c r="D179" s="5" t="inlineStr">
        <is>
          <t>US/Intl</t>
        </is>
      </c>
      <c r="E179" s="5" t="inlineStr">
        <is>
          <t>Family</t>
        </is>
      </c>
      <c r="F179" s="5" t="inlineStr">
        <is>
          <t>Fantasy,Adventure,Animation</t>
        </is>
      </c>
      <c r="G179" s="5" t="inlineStr">
        <is>
          <t>Studio/Tentpole</t>
        </is>
      </c>
      <c r="H179" s="5" t="inlineStr">
        <is>
          <t>accessible, emotional</t>
        </is>
      </c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>
        <is>
          <t>Seeded</t>
        </is>
      </c>
      <c r="S179" s="5" t="inlineStr">
        <is>
          <t>2026-01-29</t>
        </is>
      </c>
      <c r="T179" s="5" t="inlineStr">
        <is>
          <t>https://en.wikipedia.org/w/index.php?search=Travis+Knight</t>
        </is>
      </c>
      <c r="U179" s="5" t="inlineStr">
        <is>
          <t>https://www.imdb.com/find/?q=Travis+Knight&amp;s=nm</t>
        </is>
      </c>
      <c r="AO179" s="19">
        <f>IFERROR(VLOOKUP(AN179,BUDGET_BANDS!$A$2:$C$9,2,FALSE),"")</f>
        <v/>
      </c>
      <c r="AP179" s="19">
        <f>IFERROR(VLOOKUP(AN179,BUDGET_BANDS!$A$2:$C$9,3,FALSE),"")</f>
        <v/>
      </c>
    </row>
    <row r="180">
      <c r="A180" s="5" t="inlineStr">
        <is>
          <t>Wes Anderson</t>
        </is>
      </c>
      <c r="B180" s="5" t="inlineStr">
        <is>
          <t>T2</t>
        </is>
      </c>
      <c r="C180" s="5" t="inlineStr">
        <is>
          <t>Established</t>
        </is>
      </c>
      <c r="D180" s="5" t="inlineStr">
        <is>
          <t>US/UK</t>
        </is>
      </c>
      <c r="E180" s="5" t="inlineStr">
        <is>
          <t>Comedy</t>
        </is>
      </c>
      <c r="F180" s="5" t="inlineStr">
        <is>
          <t>Action-comedy,Drama</t>
        </is>
      </c>
      <c r="G180" s="5" t="inlineStr">
        <is>
          <t>Mid/Studio</t>
        </is>
      </c>
      <c r="H180" s="5" t="inlineStr">
        <is>
          <t>comedic, commercial</t>
        </is>
      </c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>
        <is>
          <t>Seeded</t>
        </is>
      </c>
      <c r="S180" s="5" t="inlineStr">
        <is>
          <t>2026-01-29</t>
        </is>
      </c>
      <c r="T180" s="5" t="inlineStr">
        <is>
          <t>https://en.wikipedia.org/w/index.php?search=Wes+Anderson</t>
        </is>
      </c>
      <c r="U180" s="5" t="inlineStr">
        <is>
          <t>https://www.imdb.com/find/?q=Wes+Anderson&amp;s=nm</t>
        </is>
      </c>
      <c r="AO180" s="19">
        <f>IFERROR(VLOOKUP(AN180,BUDGET_BANDS!$A$2:$C$9,2,FALSE),"")</f>
        <v/>
      </c>
      <c r="AP180" s="19">
        <f>IFERROR(VLOOKUP(AN180,BUDGET_BANDS!$A$2:$C$9,3,FALSE),"")</f>
        <v/>
      </c>
    </row>
    <row r="181">
      <c r="A181" s="5" t="inlineStr">
        <is>
          <t>Yorgos Lanthimos</t>
        </is>
      </c>
      <c r="B181" s="5" t="inlineStr">
        <is>
          <t>T2</t>
        </is>
      </c>
      <c r="C181" s="5" t="inlineStr">
        <is>
          <t>Peak (prestige + stars)</t>
        </is>
      </c>
      <c r="D181" s="5" t="inlineStr"/>
      <c r="E181" s="5" t="inlineStr">
        <is>
          <t>Dark comedy / prestige drama</t>
        </is>
      </c>
      <c r="F181" s="5" t="inlineStr">
        <is>
          <t>Thriller</t>
        </is>
      </c>
      <c r="G181" s="5" t="inlineStr">
        <is>
          <t>$20M–$60M</t>
        </is>
      </c>
      <c r="H181" s="5" t="inlineStr">
        <is>
          <t>Absurdist, deadpan, stylized</t>
        </is>
      </c>
      <c r="I181" s="5" t="inlineStr">
        <is>
          <t>Bugonia (2025); Poor Things (2023); The Favourite (2018)</t>
        </is>
      </c>
      <c r="J181" s="5" t="inlineStr">
        <is>
          <t>Bugonia</t>
        </is>
      </c>
      <c r="K181" s="5" t="n">
        <v>2025</v>
      </c>
      <c r="L181" s="5" t="inlineStr">
        <is>
          <t>Theatrical</t>
        </is>
      </c>
      <c r="M181" s="5" t="inlineStr">
        <is>
          <t>TBA</t>
        </is>
      </c>
      <c r="N181" s="5" t="inlineStr">
        <is>
          <t>TBD</t>
        </is>
      </c>
      <c r="O181" s="5" t="n">
        <v>4</v>
      </c>
      <c r="P181" s="5" t="inlineStr">
        <is>
          <t>Star-friendly prestige lane; unique tone can polarize.</t>
        </is>
      </c>
      <c r="Q181" s="5" t="inlineStr">
        <is>
          <t>Stylized performance requirements.</t>
        </is>
      </c>
      <c r="R181" s="5" t="inlineStr">
        <is>
          <t>In TOP sheet</t>
        </is>
      </c>
      <c r="S181" s="5" t="inlineStr">
        <is>
          <t>2026-01-29</t>
        </is>
      </c>
      <c r="T181" s="5" t="inlineStr">
        <is>
          <t>https://en.wikipedia.org/w/index.php?search=Yorgos+Lanthimos</t>
        </is>
      </c>
      <c r="U181" s="5" t="inlineStr">
        <is>
          <t>https://www.imdb.com/find/?q=Yorgos+Lanthimos&amp;s=nm</t>
        </is>
      </c>
      <c r="AO181" s="19">
        <f>IFERROR(VLOOKUP(AN181,BUDGET_BANDS!$A$2:$C$9,2,FALSE),"")</f>
        <v/>
      </c>
      <c r="AP181" s="19">
        <f>IFERROR(VLOOKUP(AN181,BUDGET_BANDS!$A$2:$C$9,3,FALSE),"")</f>
        <v/>
      </c>
    </row>
    <row r="182">
      <c r="A182" s="5" t="inlineStr">
        <is>
          <t>Zack Snyder</t>
        </is>
      </c>
      <c r="B182" s="5" t="inlineStr">
        <is>
          <t>T2</t>
        </is>
      </c>
      <c r="C182" s="5" t="inlineStr">
        <is>
          <t>Established</t>
        </is>
      </c>
      <c r="D182" s="5" t="inlineStr">
        <is>
          <t>US/Intl</t>
        </is>
      </c>
      <c r="E182" s="5" t="inlineStr">
        <is>
          <t>Action</t>
        </is>
      </c>
      <c r="F182" s="5" t="inlineStr">
        <is>
          <t>Thriller/Mystery,Crime/Heist</t>
        </is>
      </c>
      <c r="G182" s="5" t="inlineStr">
        <is>
          <t>Studio/Mid</t>
        </is>
      </c>
      <c r="H182" s="5" t="inlineStr">
        <is>
          <t>propulsive, commercial</t>
        </is>
      </c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>
        <is>
          <t>Seeded</t>
        </is>
      </c>
      <c r="S182" s="5" t="inlineStr">
        <is>
          <t>2026-01-29</t>
        </is>
      </c>
      <c r="T182" s="5" t="inlineStr">
        <is>
          <t>https://en.wikipedia.org/w/index.php?search=Zack+Snyder</t>
        </is>
      </c>
      <c r="U182" s="5" t="inlineStr">
        <is>
          <t>https://www.imdb.com/find/?q=Zack+Snyder&amp;s=nm</t>
        </is>
      </c>
      <c r="AO182" s="19">
        <f>IFERROR(VLOOKUP(AN182,BUDGET_BANDS!$A$2:$C$9,2,FALSE),"")</f>
        <v/>
      </c>
      <c r="AP182" s="19">
        <f>IFERROR(VLOOKUP(AN182,BUDGET_BANDS!$A$2:$C$9,3,FALSE),"")</f>
        <v/>
      </c>
    </row>
    <row r="183">
      <c r="A183" s="5" t="inlineStr">
        <is>
          <t>Adam Robitel</t>
        </is>
      </c>
      <c r="B183" s="5" t="inlineStr">
        <is>
          <t>T3</t>
        </is>
      </c>
      <c r="C183" s="5" t="inlineStr">
        <is>
          <t>Established (high output)</t>
        </is>
      </c>
      <c r="D183" s="5" t="inlineStr">
        <is>
          <t>US/Intl</t>
        </is>
      </c>
      <c r="E183" s="5" t="inlineStr">
        <is>
          <t>Horror</t>
        </is>
      </c>
      <c r="F183" s="5" t="inlineStr">
        <is>
          <t>Thriller/Mystery</t>
        </is>
      </c>
      <c r="G183" s="5" t="inlineStr">
        <is>
          <t>Low/Mid</t>
        </is>
      </c>
      <c r="H183" s="5" t="inlineStr">
        <is>
          <t>genre-forward</t>
        </is>
      </c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>
        <is>
          <t>Seeded</t>
        </is>
      </c>
      <c r="S183" s="5" t="inlineStr">
        <is>
          <t>2026-01-29</t>
        </is>
      </c>
      <c r="T183" s="5" t="inlineStr">
        <is>
          <t>https://en.wikipedia.org/w/index.php?search=Adam+Robitel</t>
        </is>
      </c>
      <c r="U183" s="5" t="inlineStr">
        <is>
          <t>https://www.imdb.com/find/?q=Adam+Robitel&amp;s=nm</t>
        </is>
      </c>
      <c r="AO183" s="19">
        <f>IFERROR(VLOOKUP(AN183,BUDGET_BANDS!$A$2:$C$9,2,FALSE),"")</f>
        <v/>
      </c>
      <c r="AP183" s="19">
        <f>IFERROR(VLOOKUP(AN183,BUDGET_BANDS!$A$2:$C$9,3,FALSE),"")</f>
        <v/>
      </c>
    </row>
    <row r="184">
      <c r="A184" s="5" t="inlineStr">
        <is>
          <t>Adam Wingard</t>
        </is>
      </c>
      <c r="B184" s="5" t="inlineStr">
        <is>
          <t>T3</t>
        </is>
      </c>
      <c r="C184" s="5" t="inlineStr">
        <is>
          <t>Established</t>
        </is>
      </c>
      <c r="D184" s="5" t="inlineStr">
        <is>
          <t>US/Intl</t>
        </is>
      </c>
      <c r="E184" s="5" t="inlineStr">
        <is>
          <t>Horror</t>
        </is>
      </c>
      <c r="F184" s="5" t="inlineStr">
        <is>
          <t>Thriller/Mystery</t>
        </is>
      </c>
      <c r="G184" s="5" t="inlineStr">
        <is>
          <t>Low/Mid</t>
        </is>
      </c>
      <c r="H184" s="5" t="inlineStr">
        <is>
          <t>genre-forward</t>
        </is>
      </c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>
        <is>
          <t>Seeded</t>
        </is>
      </c>
      <c r="S184" s="5" t="inlineStr">
        <is>
          <t>2026-01-29</t>
        </is>
      </c>
      <c r="T184" s="5" t="inlineStr">
        <is>
          <t>https://en.wikipedia.org/w/index.php?search=Adam+Wingard</t>
        </is>
      </c>
      <c r="U184" s="5" t="inlineStr">
        <is>
          <t>https://www.imdb.com/find/?q=Adam+Wingard&amp;s=nm</t>
        </is>
      </c>
      <c r="AO184" s="19">
        <f>IFERROR(VLOOKUP(AN184,BUDGET_BANDS!$A$2:$C$9,2,FALSE),"")</f>
        <v/>
      </c>
      <c r="AP184" s="19">
        <f>IFERROR(VLOOKUP(AN184,BUDGET_BANDS!$A$2:$C$9,3,FALSE),"")</f>
        <v/>
      </c>
    </row>
    <row r="185">
      <c r="A185" s="5" t="inlineStr">
        <is>
          <t>Andrea Berloff</t>
        </is>
      </c>
      <c r="B185" s="5" t="inlineStr">
        <is>
          <t>T3</t>
        </is>
      </c>
      <c r="C185" s="5" t="inlineStr">
        <is>
          <t>Established</t>
        </is>
      </c>
      <c r="D185" s="5" t="inlineStr">
        <is>
          <t>US/Intl</t>
        </is>
      </c>
      <c r="E185" s="5" t="inlineStr">
        <is>
          <t>Thriller/Mystery</t>
        </is>
      </c>
      <c r="F185" s="5" t="inlineStr">
        <is>
          <t>Crime/Heist,Drama</t>
        </is>
      </c>
      <c r="G185" s="5" t="inlineStr">
        <is>
          <t>Low/Mid</t>
        </is>
      </c>
      <c r="H185" s="5" t="inlineStr">
        <is>
          <t>tense, grounded</t>
        </is>
      </c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>
        <is>
          <t>Seeded</t>
        </is>
      </c>
      <c r="S185" s="5" t="inlineStr">
        <is>
          <t>2026-01-29</t>
        </is>
      </c>
      <c r="T185" s="5" t="inlineStr">
        <is>
          <t>https://en.wikipedia.org/w/index.php?search=Andrea+Berloff</t>
        </is>
      </c>
      <c r="U185" s="5" t="inlineStr">
        <is>
          <t>https://www.imdb.com/find/?q=Andrea+Berloff&amp;s=nm</t>
        </is>
      </c>
      <c r="AO185" s="19">
        <f>IFERROR(VLOOKUP(AN185,BUDGET_BANDS!$A$2:$C$9,2,FALSE),"")</f>
        <v/>
      </c>
      <c r="AP185" s="19">
        <f>IFERROR(VLOOKUP(AN185,BUDGET_BANDS!$A$2:$C$9,3,FALSE),"")</f>
        <v/>
      </c>
    </row>
    <row r="186">
      <c r="A186" s="5" t="inlineStr">
        <is>
          <t>Andy Fickman</t>
        </is>
      </c>
      <c r="B186" s="5" t="inlineStr">
        <is>
          <t>T3</t>
        </is>
      </c>
      <c r="C186" s="5" t="inlineStr">
        <is>
          <t>Established (high output)</t>
        </is>
      </c>
      <c r="D186" s="5" t="inlineStr">
        <is>
          <t>US/Intl</t>
        </is>
      </c>
      <c r="E186" s="5" t="inlineStr">
        <is>
          <t>Comedy</t>
        </is>
      </c>
      <c r="F186" s="5" t="inlineStr">
        <is>
          <t>Romantic comedy,Action-comedy</t>
        </is>
      </c>
      <c r="G186" s="5" t="inlineStr">
        <is>
          <t>Low/Mid</t>
        </is>
      </c>
      <c r="H186" s="5" t="inlineStr">
        <is>
          <t>broad, commercial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>
        <is>
          <t>Seeded</t>
        </is>
      </c>
      <c r="S186" s="5" t="inlineStr">
        <is>
          <t>2026-01-29</t>
        </is>
      </c>
      <c r="T186" s="5" t="inlineStr">
        <is>
          <t>https://en.wikipedia.org/w/index.php?search=Andy+Fickman</t>
        </is>
      </c>
      <c r="U186" s="5" t="inlineStr">
        <is>
          <t>https://www.imdb.com/find/?q=Andy+Fickman&amp;s=nm</t>
        </is>
      </c>
      <c r="AO186" s="19">
        <f>IFERROR(VLOOKUP(AN186,BUDGET_BANDS!$A$2:$C$9,2,FALSE),"")</f>
        <v/>
      </c>
      <c r="AP186" s="19">
        <f>IFERROR(VLOOKUP(AN186,BUDGET_BANDS!$A$2:$C$9,3,FALSE),"")</f>
        <v/>
      </c>
    </row>
    <row r="187">
      <c r="A187" s="5" t="inlineStr">
        <is>
          <t>Anna Foerster</t>
        </is>
      </c>
      <c r="B187" s="5" t="inlineStr">
        <is>
          <t>T3</t>
        </is>
      </c>
      <c r="C187" s="5" t="inlineStr">
        <is>
          <t>Established (high output)</t>
        </is>
      </c>
      <c r="D187" s="5" t="inlineStr">
        <is>
          <t>US/Intl</t>
        </is>
      </c>
      <c r="E187" s="5" t="inlineStr">
        <is>
          <t>Action</t>
        </is>
      </c>
      <c r="F187" s="5" t="inlineStr">
        <is>
          <t>Thriller/Mystery</t>
        </is>
      </c>
      <c r="G187" s="5" t="inlineStr">
        <is>
          <t>Mid/Studio</t>
        </is>
      </c>
      <c r="H187" s="5" t="inlineStr">
        <is>
          <t>efficient, propulsive</t>
        </is>
      </c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>
        <is>
          <t>Seeded</t>
        </is>
      </c>
      <c r="S187" s="5" t="inlineStr">
        <is>
          <t>2026-01-29</t>
        </is>
      </c>
      <c r="T187" s="5" t="inlineStr">
        <is>
          <t>https://en.wikipedia.org/w/index.php?search=Anna+Foerster</t>
        </is>
      </c>
      <c r="U187" s="5" t="inlineStr">
        <is>
          <t>https://www.imdb.com/find/?q=Anna+Foerster&amp;s=nm</t>
        </is>
      </c>
      <c r="AO187" s="19">
        <f>IFERROR(VLOOKUP(AN187,BUDGET_BANDS!$A$2:$C$9,2,FALSE),"")</f>
        <v/>
      </c>
      <c r="AP187" s="19">
        <f>IFERROR(VLOOKUP(AN187,BUDGET_BANDS!$A$2:$C$9,3,FALSE),"")</f>
        <v/>
      </c>
    </row>
    <row r="188">
      <c r="A188" s="5" t="inlineStr">
        <is>
          <t>Anne Fletcher</t>
        </is>
      </c>
      <c r="B188" s="5" t="inlineStr">
        <is>
          <t>T3</t>
        </is>
      </c>
      <c r="C188" s="5" t="inlineStr">
        <is>
          <t>Established (high output)</t>
        </is>
      </c>
      <c r="D188" s="5" t="inlineStr">
        <is>
          <t>US/Intl</t>
        </is>
      </c>
      <c r="E188" s="5" t="inlineStr">
        <is>
          <t>Comedy</t>
        </is>
      </c>
      <c r="F188" s="5" t="inlineStr">
        <is>
          <t>Romantic comedy,Action-comedy</t>
        </is>
      </c>
      <c r="G188" s="5" t="inlineStr">
        <is>
          <t>Low/Mid</t>
        </is>
      </c>
      <c r="H188" s="5" t="inlineStr">
        <is>
          <t>broad, commercial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>
        <is>
          <t>Seeded</t>
        </is>
      </c>
      <c r="S188" s="5" t="inlineStr">
        <is>
          <t>2026-01-29</t>
        </is>
      </c>
      <c r="T188" s="5" t="inlineStr">
        <is>
          <t>https://en.wikipedia.org/w/index.php?search=Anne+Fletcher</t>
        </is>
      </c>
      <c r="U188" s="5" t="inlineStr">
        <is>
          <t>https://www.imdb.com/find/?q=Anne+Fletcher&amp;s=nm</t>
        </is>
      </c>
      <c r="AO188" s="19">
        <f>IFERROR(VLOOKUP(AN188,BUDGET_BANDS!$A$2:$C$9,2,FALSE),"")</f>
        <v/>
      </c>
      <c r="AP188" s="19">
        <f>IFERROR(VLOOKUP(AN188,BUDGET_BANDS!$A$2:$C$9,3,FALSE),"")</f>
        <v/>
      </c>
    </row>
    <row r="189">
      <c r="A189" s="5" t="inlineStr">
        <is>
          <t>Anthony Scott Burns</t>
        </is>
      </c>
      <c r="B189" s="5" t="inlineStr">
        <is>
          <t>T3</t>
        </is>
      </c>
      <c r="C189" s="5" t="inlineStr">
        <is>
          <t>Established</t>
        </is>
      </c>
      <c r="D189" s="5" t="inlineStr">
        <is>
          <t>US/Intl</t>
        </is>
      </c>
      <c r="E189" s="5" t="inlineStr">
        <is>
          <t>Horror</t>
        </is>
      </c>
      <c r="F189" s="5" t="inlineStr">
        <is>
          <t>Thriller/Mystery</t>
        </is>
      </c>
      <c r="G189" s="5" t="inlineStr">
        <is>
          <t>Low/Mid</t>
        </is>
      </c>
      <c r="H189" s="5" t="inlineStr">
        <is>
          <t>genre-forward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>
        <is>
          <t>Seeded</t>
        </is>
      </c>
      <c r="S189" s="5" t="inlineStr">
        <is>
          <t>2026-01-29</t>
        </is>
      </c>
      <c r="T189" s="5" t="inlineStr">
        <is>
          <t>https://en.wikipedia.org/w/index.php?search=Anthony+Scott+Burns</t>
        </is>
      </c>
      <c r="U189" s="5" t="inlineStr">
        <is>
          <t>https://www.imdb.com/find/?q=Anthony+Scott+Burns&amp;s=nm</t>
        </is>
      </c>
      <c r="AO189" s="19">
        <f>IFERROR(VLOOKUP(AN189,BUDGET_BANDS!$A$2:$C$9,2,FALSE),"")</f>
        <v/>
      </c>
      <c r="AP189" s="19">
        <f>IFERROR(VLOOKUP(AN189,BUDGET_BANDS!$A$2:$C$9,3,FALSE),"")</f>
        <v/>
      </c>
    </row>
    <row r="190">
      <c r="A190" s="5" t="inlineStr">
        <is>
          <t>Babak Najafi</t>
        </is>
      </c>
      <c r="B190" s="5" t="inlineStr">
        <is>
          <t>T3</t>
        </is>
      </c>
      <c r="C190" s="5" t="inlineStr">
        <is>
          <t>Established (high output)</t>
        </is>
      </c>
      <c r="D190" s="5" t="inlineStr">
        <is>
          <t>US/Intl</t>
        </is>
      </c>
      <c r="E190" s="5" t="inlineStr">
        <is>
          <t>Action</t>
        </is>
      </c>
      <c r="F190" s="5" t="inlineStr">
        <is>
          <t>Thriller/Mystery</t>
        </is>
      </c>
      <c r="G190" s="5" t="inlineStr">
        <is>
          <t>Mid/Studio</t>
        </is>
      </c>
      <c r="H190" s="5" t="inlineStr">
        <is>
          <t>efficient, propulsive</t>
        </is>
      </c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>
        <is>
          <t>Seeded</t>
        </is>
      </c>
      <c r="S190" s="5" t="inlineStr">
        <is>
          <t>2026-01-29</t>
        </is>
      </c>
      <c r="T190" s="5" t="inlineStr">
        <is>
          <t>https://en.wikipedia.org/w/index.php?search=Babak+Najafi</t>
        </is>
      </c>
      <c r="U190" s="5" t="inlineStr">
        <is>
          <t>https://www.imdb.com/find/?q=Babak+Najafi&amp;s=nm</t>
        </is>
      </c>
      <c r="AO190" s="19">
        <f>IFERROR(VLOOKUP(AN190,BUDGET_BANDS!$A$2:$C$9,2,FALSE),"")</f>
        <v/>
      </c>
      <c r="AP190" s="19">
        <f>IFERROR(VLOOKUP(AN190,BUDGET_BANDS!$A$2:$C$9,3,FALSE),"")</f>
        <v/>
      </c>
    </row>
    <row r="191">
      <c r="A191" s="5" t="inlineStr">
        <is>
          <t>Baz Luhrmann</t>
        </is>
      </c>
      <c r="B191" s="5" t="inlineStr">
        <is>
          <t>T3</t>
        </is>
      </c>
      <c r="C191" s="5" t="inlineStr">
        <is>
          <t>Established</t>
        </is>
      </c>
      <c r="D191" s="5" t="inlineStr">
        <is>
          <t>US/Intl</t>
        </is>
      </c>
      <c r="E191" s="5" t="inlineStr">
        <is>
          <t>Musical</t>
        </is>
      </c>
      <c r="F191" s="5" t="inlineStr">
        <is>
          <t>Drama,Comedy</t>
        </is>
      </c>
      <c r="G191" s="5" t="inlineStr">
        <is>
          <t>Mid/Studio</t>
        </is>
      </c>
      <c r="H191" s="5" t="inlineStr">
        <is>
          <t>music-driven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>
        <is>
          <t>Seeded</t>
        </is>
      </c>
      <c r="S191" s="5" t="inlineStr">
        <is>
          <t>2026-01-29</t>
        </is>
      </c>
      <c r="T191" s="5" t="inlineStr">
        <is>
          <t>https://en.wikipedia.org/w/index.php?search=Baz+Luhrmann</t>
        </is>
      </c>
      <c r="U191" s="5" t="inlineStr">
        <is>
          <t>https://www.imdb.com/find/?q=Baz+Luhrmann&amp;s=nm</t>
        </is>
      </c>
      <c r="AO191" s="19">
        <f>IFERROR(VLOOKUP(AN191,BUDGET_BANDS!$A$2:$C$9,2,FALSE),"")</f>
        <v/>
      </c>
      <c r="AP191" s="19">
        <f>IFERROR(VLOOKUP(AN191,BUDGET_BANDS!$A$2:$C$9,3,FALSE),"")</f>
        <v/>
      </c>
    </row>
    <row r="192">
      <c r="A192" s="5" t="inlineStr">
        <is>
          <t>Ben Affleck</t>
        </is>
      </c>
      <c r="B192" s="5" t="inlineStr">
        <is>
          <t>T3</t>
        </is>
      </c>
      <c r="C192" s="5" t="inlineStr">
        <is>
          <t>Established</t>
        </is>
      </c>
      <c r="D192" s="5" t="inlineStr">
        <is>
          <t>US/Intl</t>
        </is>
      </c>
      <c r="E192" s="5" t="inlineStr">
        <is>
          <t>Thriller/Mystery</t>
        </is>
      </c>
      <c r="F192" s="5" t="inlineStr">
        <is>
          <t>Crime/Heist,Drama</t>
        </is>
      </c>
      <c r="G192" s="5" t="inlineStr">
        <is>
          <t>Low/Mid</t>
        </is>
      </c>
      <c r="H192" s="5" t="inlineStr">
        <is>
          <t>tense, grounded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>
        <is>
          <t>Seeded</t>
        </is>
      </c>
      <c r="S192" s="5" t="inlineStr">
        <is>
          <t>2026-01-29</t>
        </is>
      </c>
      <c r="T192" s="5" t="inlineStr">
        <is>
          <t>https://en.wikipedia.org/w/index.php?search=Ben+Affleck</t>
        </is>
      </c>
      <c r="U192" s="5" t="inlineStr">
        <is>
          <t>https://www.imdb.com/find/?q=Ben+Affleck&amp;s=nm</t>
        </is>
      </c>
      <c r="AO192" s="19">
        <f>IFERROR(VLOOKUP(AN192,BUDGET_BANDS!$A$2:$C$9,2,FALSE),"")</f>
        <v/>
      </c>
      <c r="AP192" s="19">
        <f>IFERROR(VLOOKUP(AN192,BUDGET_BANDS!$A$2:$C$9,3,FALSE),"")</f>
        <v/>
      </c>
    </row>
    <row r="193">
      <c r="A193" s="5" t="inlineStr">
        <is>
          <t>Ben Wheatley</t>
        </is>
      </c>
      <c r="B193" s="5" t="inlineStr">
        <is>
          <t>T3</t>
        </is>
      </c>
      <c r="C193" s="5" t="inlineStr">
        <is>
          <t>Established</t>
        </is>
      </c>
      <c r="D193" s="5" t="inlineStr">
        <is>
          <t>US/Intl</t>
        </is>
      </c>
      <c r="E193" s="5" t="inlineStr">
        <is>
          <t>Thriller/Mystery</t>
        </is>
      </c>
      <c r="F193" s="5" t="inlineStr">
        <is>
          <t>Crime/Heist,Drama</t>
        </is>
      </c>
      <c r="G193" s="5" t="inlineStr">
        <is>
          <t>Low/Mid</t>
        </is>
      </c>
      <c r="H193" s="5" t="inlineStr">
        <is>
          <t>tense, grounded</t>
        </is>
      </c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>
        <is>
          <t>Seeded</t>
        </is>
      </c>
      <c r="S193" s="5" t="inlineStr">
        <is>
          <t>2026-01-29</t>
        </is>
      </c>
      <c r="T193" s="5" t="inlineStr">
        <is>
          <t>https://en.wikipedia.org/w/index.php?search=Ben+Wheatley</t>
        </is>
      </c>
      <c r="U193" s="5" t="inlineStr">
        <is>
          <t>https://www.imdb.com/find/?q=Ben+Wheatley&amp;s=nm</t>
        </is>
      </c>
      <c r="AO193" s="19">
        <f>IFERROR(VLOOKUP(AN193,BUDGET_BANDS!$A$2:$C$9,2,FALSE),"")</f>
        <v/>
      </c>
      <c r="AP193" s="19">
        <f>IFERROR(VLOOKUP(AN193,BUDGET_BANDS!$A$2:$C$9,3,FALSE),"")</f>
        <v/>
      </c>
    </row>
    <row r="194">
      <c r="A194" s="5" t="inlineStr">
        <is>
          <t>Bill Condon</t>
        </is>
      </c>
      <c r="B194" s="5" t="inlineStr">
        <is>
          <t>T3</t>
        </is>
      </c>
      <c r="C194" s="5" t="inlineStr">
        <is>
          <t>Established</t>
        </is>
      </c>
      <c r="D194" s="5" t="inlineStr">
        <is>
          <t>US/UK</t>
        </is>
      </c>
      <c r="E194" s="5" t="inlineStr">
        <is>
          <t>Drama</t>
        </is>
      </c>
      <c r="F194" s="5" t="inlineStr">
        <is>
          <t>Biopic,Prestige drama</t>
        </is>
      </c>
      <c r="G194" s="5" t="inlineStr">
        <is>
          <t>Mid</t>
        </is>
      </c>
      <c r="H194" s="5" t="inlineStr">
        <is>
          <t>character-forward</t>
        </is>
      </c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>
        <is>
          <t>Seeded</t>
        </is>
      </c>
      <c r="S194" s="5" t="inlineStr">
        <is>
          <t>2026-01-29</t>
        </is>
      </c>
      <c r="T194" s="5" t="inlineStr">
        <is>
          <t>https://en.wikipedia.org/w/index.php?search=Bill+Condon</t>
        </is>
      </c>
      <c r="U194" s="5" t="inlineStr">
        <is>
          <t>https://www.imdb.com/find/?q=Bill+Condon&amp;s=nm</t>
        </is>
      </c>
      <c r="AO194" s="19">
        <f>IFERROR(VLOOKUP(AN194,BUDGET_BANDS!$A$2:$C$9,2,FALSE),"")</f>
        <v/>
      </c>
      <c r="AP194" s="19">
        <f>IFERROR(VLOOKUP(AN194,BUDGET_BANDS!$A$2:$C$9,3,FALSE),"")</f>
        <v/>
      </c>
    </row>
    <row r="195">
      <c r="A195" s="5" t="inlineStr">
        <is>
          <t>Billie Woodruff</t>
        </is>
      </c>
      <c r="B195" s="5" t="inlineStr">
        <is>
          <t>T3</t>
        </is>
      </c>
      <c r="C195" s="5" t="inlineStr">
        <is>
          <t>Established</t>
        </is>
      </c>
      <c r="D195" s="5" t="inlineStr">
        <is>
          <t>US/Intl</t>
        </is>
      </c>
      <c r="E195" s="5" t="inlineStr">
        <is>
          <t>Musical</t>
        </is>
      </c>
      <c r="F195" s="5" t="inlineStr">
        <is>
          <t>Drama,Comedy</t>
        </is>
      </c>
      <c r="G195" s="5" t="inlineStr">
        <is>
          <t>Mid/Studio</t>
        </is>
      </c>
      <c r="H195" s="5" t="inlineStr">
        <is>
          <t>music-driven</t>
        </is>
      </c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>
        <is>
          <t>Seeded</t>
        </is>
      </c>
      <c r="S195" s="5" t="inlineStr">
        <is>
          <t>2026-01-29</t>
        </is>
      </c>
      <c r="T195" s="5" t="inlineStr">
        <is>
          <t>https://en.wikipedia.org/w/index.php?search=Billie+Woodruff</t>
        </is>
      </c>
      <c r="U195" s="5" t="inlineStr">
        <is>
          <t>https://www.imdb.com/find/?q=Billie+Woodruff&amp;s=nm</t>
        </is>
      </c>
      <c r="AO195" s="19">
        <f>IFERROR(VLOOKUP(AN195,BUDGET_BANDS!$A$2:$C$9,2,FALSE),"")</f>
        <v/>
      </c>
      <c r="AP195" s="19">
        <f>IFERROR(VLOOKUP(AN195,BUDGET_BANDS!$A$2:$C$9,3,FALSE),"")</f>
        <v/>
      </c>
    </row>
    <row r="196">
      <c r="A196" s="5" t="inlineStr">
        <is>
          <t>Bobby Farrelly</t>
        </is>
      </c>
      <c r="B196" s="5" t="inlineStr">
        <is>
          <t>T3</t>
        </is>
      </c>
      <c r="C196" s="5" t="inlineStr">
        <is>
          <t>Established (high output)</t>
        </is>
      </c>
      <c r="D196" s="5" t="inlineStr">
        <is>
          <t>US/Intl</t>
        </is>
      </c>
      <c r="E196" s="5" t="inlineStr">
        <is>
          <t>Comedy</t>
        </is>
      </c>
      <c r="F196" s="5" t="inlineStr">
        <is>
          <t>Romantic comedy,Action-comedy</t>
        </is>
      </c>
      <c r="G196" s="5" t="inlineStr">
        <is>
          <t>Low/Mid</t>
        </is>
      </c>
      <c r="H196" s="5" t="inlineStr">
        <is>
          <t>broad, commercial</t>
        </is>
      </c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>
        <is>
          <t>Seeded</t>
        </is>
      </c>
      <c r="S196" s="5" t="inlineStr">
        <is>
          <t>2026-01-29</t>
        </is>
      </c>
      <c r="T196" s="5" t="inlineStr">
        <is>
          <t>https://en.wikipedia.org/w/index.php?search=Bobby+Farrelly</t>
        </is>
      </c>
      <c r="U196" s="5" t="inlineStr">
        <is>
          <t>https://www.imdb.com/find/?q=Bobby+Farrelly&amp;s=nm</t>
        </is>
      </c>
      <c r="AO196" s="19">
        <f>IFERROR(VLOOKUP(AN196,BUDGET_BANDS!$A$2:$C$9,2,FALSE),"")</f>
        <v/>
      </c>
      <c r="AP196" s="19">
        <f>IFERROR(VLOOKUP(AN196,BUDGET_BANDS!$A$2:$C$9,3,FALSE),"")</f>
        <v/>
      </c>
    </row>
    <row r="197">
      <c r="A197" s="5" t="inlineStr">
        <is>
          <t>Brad Anderson</t>
        </is>
      </c>
      <c r="B197" s="5" t="inlineStr">
        <is>
          <t>T3</t>
        </is>
      </c>
      <c r="C197" s="5" t="inlineStr">
        <is>
          <t>Established (high output)</t>
        </is>
      </c>
      <c r="D197" s="5" t="inlineStr">
        <is>
          <t>US/Intl</t>
        </is>
      </c>
      <c r="E197" s="5" t="inlineStr">
        <is>
          <t>Action</t>
        </is>
      </c>
      <c r="F197" s="5" t="inlineStr">
        <is>
          <t>Thriller/Mystery</t>
        </is>
      </c>
      <c r="G197" s="5" t="inlineStr">
        <is>
          <t>Mid/Studio</t>
        </is>
      </c>
      <c r="H197" s="5" t="inlineStr">
        <is>
          <t>efficient, propulsive</t>
        </is>
      </c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>
        <is>
          <t>Seeded</t>
        </is>
      </c>
      <c r="S197" s="5" t="inlineStr">
        <is>
          <t>2026-01-29</t>
        </is>
      </c>
      <c r="T197" s="5" t="inlineStr">
        <is>
          <t>https://en.wikipedia.org/w/index.php?search=Brad+Anderson</t>
        </is>
      </c>
      <c r="U197" s="5" t="inlineStr">
        <is>
          <t>https://www.imdb.com/find/?q=Brad+Anderson&amp;s=nm</t>
        </is>
      </c>
      <c r="AO197" s="19">
        <f>IFERROR(VLOOKUP(AN197,BUDGET_BANDS!$A$2:$C$9,2,FALSE),"")</f>
        <v/>
      </c>
      <c r="AP197" s="19">
        <f>IFERROR(VLOOKUP(AN197,BUDGET_BANDS!$A$2:$C$9,3,FALSE),"")</f>
        <v/>
      </c>
    </row>
    <row r="198">
      <c r="A198" s="5" t="inlineStr">
        <is>
          <t>Brad Furman</t>
        </is>
      </c>
      <c r="B198" s="5" t="inlineStr">
        <is>
          <t>T3</t>
        </is>
      </c>
      <c r="C198" s="5" t="inlineStr">
        <is>
          <t>Established</t>
        </is>
      </c>
      <c r="D198" s="5" t="inlineStr">
        <is>
          <t>US/UK</t>
        </is>
      </c>
      <c r="E198" s="5" t="inlineStr">
        <is>
          <t>Drama</t>
        </is>
      </c>
      <c r="F198" s="5" t="inlineStr">
        <is>
          <t>Biopic,Prestige drama</t>
        </is>
      </c>
      <c r="G198" s="5" t="inlineStr">
        <is>
          <t>Mid</t>
        </is>
      </c>
      <c r="H198" s="5" t="inlineStr">
        <is>
          <t>character-forward</t>
        </is>
      </c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>
        <is>
          <t>Seeded</t>
        </is>
      </c>
      <c r="S198" s="5" t="inlineStr">
        <is>
          <t>2026-01-29</t>
        </is>
      </c>
      <c r="T198" s="5" t="inlineStr">
        <is>
          <t>https://en.wikipedia.org/w/index.php?search=Brad+Furman</t>
        </is>
      </c>
      <c r="U198" s="5" t="inlineStr">
        <is>
          <t>https://www.imdb.com/find/?q=Brad+Furman&amp;s=nm</t>
        </is>
      </c>
      <c r="AO198" s="19">
        <f>IFERROR(VLOOKUP(AN198,BUDGET_BANDS!$A$2:$C$9,2,FALSE),"")</f>
        <v/>
      </c>
      <c r="AP198" s="19">
        <f>IFERROR(VLOOKUP(AN198,BUDGET_BANDS!$A$2:$C$9,3,FALSE),"")</f>
        <v/>
      </c>
    </row>
    <row r="199">
      <c r="A199" s="5" t="inlineStr">
        <is>
          <t>Brad Peyton</t>
        </is>
      </c>
      <c r="B199" s="5" t="inlineStr">
        <is>
          <t>T3</t>
        </is>
      </c>
      <c r="C199" s="5" t="inlineStr">
        <is>
          <t>Established (high output)</t>
        </is>
      </c>
      <c r="D199" s="5" t="inlineStr">
        <is>
          <t>US/Intl</t>
        </is>
      </c>
      <c r="E199" s="5" t="inlineStr">
        <is>
          <t>Action</t>
        </is>
      </c>
      <c r="F199" s="5" t="inlineStr">
        <is>
          <t>Thriller/Mystery</t>
        </is>
      </c>
      <c r="G199" s="5" t="inlineStr">
        <is>
          <t>Mid/Studio</t>
        </is>
      </c>
      <c r="H199" s="5" t="inlineStr">
        <is>
          <t>efficient, propulsive</t>
        </is>
      </c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>
        <is>
          <t>Seeded</t>
        </is>
      </c>
      <c r="S199" s="5" t="inlineStr">
        <is>
          <t>2026-01-29</t>
        </is>
      </c>
      <c r="T199" s="5" t="inlineStr">
        <is>
          <t>https://en.wikipedia.org/w/index.php?search=Brad+Peyton</t>
        </is>
      </c>
      <c r="U199" s="5" t="inlineStr">
        <is>
          <t>https://www.imdb.com/find/?q=Brad+Peyton&amp;s=nm</t>
        </is>
      </c>
      <c r="AO199" s="19">
        <f>IFERROR(VLOOKUP(AN199,BUDGET_BANDS!$A$2:$C$9,2,FALSE),"")</f>
        <v/>
      </c>
      <c r="AP199" s="19">
        <f>IFERROR(VLOOKUP(AN199,BUDGET_BANDS!$A$2:$C$9,3,FALSE),"")</f>
        <v/>
      </c>
    </row>
    <row r="200">
      <c r="A200" s="5" t="inlineStr">
        <is>
          <t>Breck Eisner</t>
        </is>
      </c>
      <c r="B200" s="5" t="inlineStr">
        <is>
          <t>T3</t>
        </is>
      </c>
      <c r="C200" s="5" t="inlineStr">
        <is>
          <t>Established</t>
        </is>
      </c>
      <c r="D200" s="5" t="inlineStr">
        <is>
          <t>US/Intl</t>
        </is>
      </c>
      <c r="E200" s="5" t="inlineStr">
        <is>
          <t>Horror</t>
        </is>
      </c>
      <c r="F200" s="5" t="inlineStr">
        <is>
          <t>Thriller/Mystery</t>
        </is>
      </c>
      <c r="G200" s="5" t="inlineStr">
        <is>
          <t>Low/Mid</t>
        </is>
      </c>
      <c r="H200" s="5" t="inlineStr">
        <is>
          <t>genre-forward</t>
        </is>
      </c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>
        <is>
          <t>Seeded</t>
        </is>
      </c>
      <c r="S200" s="5" t="inlineStr">
        <is>
          <t>2026-01-29</t>
        </is>
      </c>
      <c r="T200" s="5" t="inlineStr">
        <is>
          <t>https://en.wikipedia.org/w/index.php?search=Breck+Eisner</t>
        </is>
      </c>
      <c r="U200" s="5" t="inlineStr">
        <is>
          <t>https://www.imdb.com/find/?q=Breck+Eisner&amp;s=nm</t>
        </is>
      </c>
      <c r="AO200" s="19">
        <f>IFERROR(VLOOKUP(AN200,BUDGET_BANDS!$A$2:$C$9,2,FALSE),"")</f>
        <v/>
      </c>
      <c r="AP200" s="19">
        <f>IFERROR(VLOOKUP(AN200,BUDGET_BANDS!$A$2:$C$9,3,FALSE),"")</f>
        <v/>
      </c>
    </row>
    <row r="201">
      <c r="A201" s="5" t="inlineStr">
        <is>
          <t>Brian Robbins</t>
        </is>
      </c>
      <c r="B201" s="5" t="inlineStr">
        <is>
          <t>T3</t>
        </is>
      </c>
      <c r="C201" s="5" t="inlineStr">
        <is>
          <t>Established</t>
        </is>
      </c>
      <c r="D201" s="5" t="inlineStr">
        <is>
          <t>US/UK</t>
        </is>
      </c>
      <c r="E201" s="5" t="inlineStr">
        <is>
          <t>Romantic comedy</t>
        </is>
      </c>
      <c r="F201" s="5" t="inlineStr">
        <is>
          <t>Comedy,Drama</t>
        </is>
      </c>
      <c r="G201" s="5" t="inlineStr">
        <is>
          <t>Mid/Studio</t>
        </is>
      </c>
      <c r="H201" s="5" t="inlineStr">
        <is>
          <t>warm, commercial</t>
        </is>
      </c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>
        <is>
          <t>Seeded</t>
        </is>
      </c>
      <c r="S201" s="5" t="inlineStr">
        <is>
          <t>2026-01-29</t>
        </is>
      </c>
      <c r="T201" s="5" t="inlineStr">
        <is>
          <t>https://en.wikipedia.org/w/index.php?search=Brian+Robbins</t>
        </is>
      </c>
      <c r="U201" s="5" t="inlineStr">
        <is>
          <t>https://www.imdb.com/find/?q=Brian+Robbins&amp;s=nm</t>
        </is>
      </c>
      <c r="AO201" s="19">
        <f>IFERROR(VLOOKUP(AN201,BUDGET_BANDS!$A$2:$C$9,2,FALSE),"")</f>
        <v/>
      </c>
      <c r="AP201" s="19">
        <f>IFERROR(VLOOKUP(AN201,BUDGET_BANDS!$A$2:$C$9,3,FALSE),"")</f>
        <v/>
      </c>
    </row>
    <row r="202">
      <c r="A202" s="5" t="inlineStr">
        <is>
          <t>Bryan Woods</t>
        </is>
      </c>
      <c r="B202" s="5" t="inlineStr">
        <is>
          <t>T3</t>
        </is>
      </c>
      <c r="C202" s="5" t="inlineStr">
        <is>
          <t>Established (high output)</t>
        </is>
      </c>
      <c r="D202" s="5" t="inlineStr">
        <is>
          <t>US/Intl</t>
        </is>
      </c>
      <c r="E202" s="5" t="inlineStr">
        <is>
          <t>Horror</t>
        </is>
      </c>
      <c r="F202" s="5" t="inlineStr">
        <is>
          <t>Thriller/Mystery</t>
        </is>
      </c>
      <c r="G202" s="5" t="inlineStr">
        <is>
          <t>Low/Mid</t>
        </is>
      </c>
      <c r="H202" s="5" t="inlineStr">
        <is>
          <t>genre-forward</t>
        </is>
      </c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>
        <is>
          <t>Seeded</t>
        </is>
      </c>
      <c r="S202" s="5" t="inlineStr">
        <is>
          <t>2026-01-29</t>
        </is>
      </c>
      <c r="T202" s="5" t="inlineStr">
        <is>
          <t>https://en.wikipedia.org/w/index.php?search=Bryan+Woods</t>
        </is>
      </c>
      <c r="U202" s="5" t="inlineStr">
        <is>
          <t>https://www.imdb.com/find/?q=Bryan+Woods&amp;s=nm</t>
        </is>
      </c>
      <c r="AO202" s="19">
        <f>IFERROR(VLOOKUP(AN202,BUDGET_BANDS!$A$2:$C$9,2,FALSE),"")</f>
        <v/>
      </c>
      <c r="AP202" s="19">
        <f>IFERROR(VLOOKUP(AN202,BUDGET_BANDS!$A$2:$C$9,3,FALSE),"")</f>
        <v/>
      </c>
    </row>
    <row r="203">
      <c r="A203" s="5" t="inlineStr">
        <is>
          <t>Chris Weitz</t>
        </is>
      </c>
      <c r="B203" s="5" t="inlineStr">
        <is>
          <t>T3</t>
        </is>
      </c>
      <c r="C203" s="5" t="inlineStr">
        <is>
          <t>Established (high output)</t>
        </is>
      </c>
      <c r="D203" s="5" t="inlineStr">
        <is>
          <t>US/Intl</t>
        </is>
      </c>
      <c r="E203" s="5" t="inlineStr">
        <is>
          <t>Comedy</t>
        </is>
      </c>
      <c r="F203" s="5" t="inlineStr">
        <is>
          <t>Romantic comedy,Action-comedy</t>
        </is>
      </c>
      <c r="G203" s="5" t="inlineStr">
        <is>
          <t>Low/Mid</t>
        </is>
      </c>
      <c r="H203" s="5" t="inlineStr">
        <is>
          <t>broad, commercial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>
        <is>
          <t>Seeded</t>
        </is>
      </c>
      <c r="S203" s="5" t="inlineStr">
        <is>
          <t>2026-01-29</t>
        </is>
      </c>
      <c r="T203" s="5" t="inlineStr">
        <is>
          <t>https://en.wikipedia.org/w/index.php?search=Chris+Weitz</t>
        </is>
      </c>
      <c r="U203" s="5" t="inlineStr">
        <is>
          <t>https://www.imdb.com/find/?q=Chris+Weitz&amp;s=nm</t>
        </is>
      </c>
      <c r="AO203" s="19">
        <f>IFERROR(VLOOKUP(AN203,BUDGET_BANDS!$A$2:$C$9,2,FALSE),"")</f>
        <v/>
      </c>
      <c r="AP203" s="19">
        <f>IFERROR(VLOOKUP(AN203,BUDGET_BANDS!$A$2:$C$9,3,FALSE),"")</f>
        <v/>
      </c>
    </row>
    <row r="204">
      <c r="A204" s="5" t="inlineStr">
        <is>
          <t>Christian Gudegast</t>
        </is>
      </c>
      <c r="B204" s="5" t="inlineStr">
        <is>
          <t>T3</t>
        </is>
      </c>
      <c r="C204" s="5" t="inlineStr">
        <is>
          <t>Established (high output)</t>
        </is>
      </c>
      <c r="D204" s="5" t="inlineStr">
        <is>
          <t>US/Intl</t>
        </is>
      </c>
      <c r="E204" s="5" t="inlineStr">
        <is>
          <t>Action</t>
        </is>
      </c>
      <c r="F204" s="5" t="inlineStr">
        <is>
          <t>Thriller/Mystery</t>
        </is>
      </c>
      <c r="G204" s="5" t="inlineStr">
        <is>
          <t>Mid/Studio</t>
        </is>
      </c>
      <c r="H204" s="5" t="inlineStr">
        <is>
          <t>efficient, propulsive</t>
        </is>
      </c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>
        <is>
          <t>Seeded</t>
        </is>
      </c>
      <c r="S204" s="5" t="inlineStr">
        <is>
          <t>2026-01-29</t>
        </is>
      </c>
      <c r="T204" s="5" t="inlineStr">
        <is>
          <t>https://en.wikipedia.org/w/index.php?search=Christian+Gudegast</t>
        </is>
      </c>
      <c r="U204" s="5" t="inlineStr">
        <is>
          <t>https://www.imdb.com/find/?q=Christian+Gudegast&amp;s=nm</t>
        </is>
      </c>
      <c r="AO204" s="19">
        <f>IFERROR(VLOOKUP(AN204,BUDGET_BANDS!$A$2:$C$9,2,FALSE),"")</f>
        <v/>
      </c>
      <c r="AP204" s="19">
        <f>IFERROR(VLOOKUP(AN204,BUDGET_BANDS!$A$2:$C$9,3,FALSE),"")</f>
        <v/>
      </c>
    </row>
    <row r="205">
      <c r="A205" s="5" t="inlineStr">
        <is>
          <t>Christopher Landon</t>
        </is>
      </c>
      <c r="B205" s="5" t="inlineStr">
        <is>
          <t>T3</t>
        </is>
      </c>
      <c r="C205" s="5" t="inlineStr">
        <is>
          <t>Established (high output)</t>
        </is>
      </c>
      <c r="D205" s="5" t="inlineStr">
        <is>
          <t>US/Intl</t>
        </is>
      </c>
      <c r="E205" s="5" t="inlineStr">
        <is>
          <t>Horror</t>
        </is>
      </c>
      <c r="F205" s="5" t="inlineStr">
        <is>
          <t>Thriller/Mystery</t>
        </is>
      </c>
      <c r="G205" s="5" t="inlineStr">
        <is>
          <t>Low/Mid</t>
        </is>
      </c>
      <c r="H205" s="5" t="inlineStr">
        <is>
          <t>genre-forward</t>
        </is>
      </c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>
        <is>
          <t>Seeded</t>
        </is>
      </c>
      <c r="S205" s="5" t="inlineStr">
        <is>
          <t>2026-01-29</t>
        </is>
      </c>
      <c r="T205" s="5" t="inlineStr">
        <is>
          <t>https://en.wikipedia.org/w/index.php?search=Christopher+Landon</t>
        </is>
      </c>
      <c r="U205" s="5" t="inlineStr">
        <is>
          <t>https://www.imdb.com/find/?q=Christopher+Landon&amp;s=nm</t>
        </is>
      </c>
      <c r="AO205" s="19">
        <f>IFERROR(VLOOKUP(AN205,BUDGET_BANDS!$A$2:$C$9,2,FALSE),"")</f>
        <v/>
      </c>
      <c r="AP205" s="19">
        <f>IFERROR(VLOOKUP(AN205,BUDGET_BANDS!$A$2:$C$9,3,FALSE),"")</f>
        <v/>
      </c>
    </row>
    <row r="206">
      <c r="A206" s="5" t="inlineStr">
        <is>
          <t>Clint Eastwood</t>
        </is>
      </c>
      <c r="B206" s="5" t="inlineStr">
        <is>
          <t>T3</t>
        </is>
      </c>
      <c r="C206" s="5" t="inlineStr">
        <is>
          <t>Established</t>
        </is>
      </c>
      <c r="D206" s="5" t="inlineStr">
        <is>
          <t>US/UK</t>
        </is>
      </c>
      <c r="E206" s="5" t="inlineStr">
        <is>
          <t>Drama</t>
        </is>
      </c>
      <c r="F206" s="5" t="inlineStr">
        <is>
          <t>Biopic,Prestige drama</t>
        </is>
      </c>
      <c r="G206" s="5" t="inlineStr">
        <is>
          <t>Mid</t>
        </is>
      </c>
      <c r="H206" s="5" t="inlineStr">
        <is>
          <t>character-forward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>
        <is>
          <t>Seeded</t>
        </is>
      </c>
      <c r="S206" s="5" t="inlineStr">
        <is>
          <t>2026-01-29</t>
        </is>
      </c>
      <c r="T206" s="5" t="inlineStr">
        <is>
          <t>https://en.wikipedia.org/w/index.php?search=Clint+Eastwood</t>
        </is>
      </c>
      <c r="U206" s="5" t="inlineStr">
        <is>
          <t>https://www.imdb.com/find/?q=Clint+Eastwood&amp;s=nm</t>
        </is>
      </c>
      <c r="AO206" s="19">
        <f>IFERROR(VLOOKUP(AN206,BUDGET_BANDS!$A$2:$C$9,2,FALSE),"")</f>
        <v/>
      </c>
      <c r="AP206" s="19">
        <f>IFERROR(VLOOKUP(AN206,BUDGET_BANDS!$A$2:$C$9,3,FALSE),"")</f>
        <v/>
      </c>
    </row>
    <row r="207">
      <c r="A207" s="5" t="inlineStr">
        <is>
          <t>Corin Hardy</t>
        </is>
      </c>
      <c r="B207" s="5" t="inlineStr">
        <is>
          <t>T3</t>
        </is>
      </c>
      <c r="C207" s="5" t="inlineStr">
        <is>
          <t>Established (high output)</t>
        </is>
      </c>
      <c r="D207" s="5" t="inlineStr">
        <is>
          <t>US/Intl</t>
        </is>
      </c>
      <c r="E207" s="5" t="inlineStr">
        <is>
          <t>Horror</t>
        </is>
      </c>
      <c r="F207" s="5" t="inlineStr">
        <is>
          <t>Thriller/Mystery</t>
        </is>
      </c>
      <c r="G207" s="5" t="inlineStr">
        <is>
          <t>Low/Mid</t>
        </is>
      </c>
      <c r="H207" s="5" t="inlineStr">
        <is>
          <t>genre-forward</t>
        </is>
      </c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>
        <is>
          <t>Seeded</t>
        </is>
      </c>
      <c r="S207" s="5" t="inlineStr">
        <is>
          <t>2026-01-29</t>
        </is>
      </c>
      <c r="T207" s="5" t="inlineStr">
        <is>
          <t>https://en.wikipedia.org/w/index.php?search=Corin+Hardy</t>
        </is>
      </c>
      <c r="U207" s="5" t="inlineStr">
        <is>
          <t>https://www.imdb.com/find/?q=Corin+Hardy&amp;s=nm</t>
        </is>
      </c>
      <c r="AO207" s="19">
        <f>IFERROR(VLOOKUP(AN207,BUDGET_BANDS!$A$2:$C$9,2,FALSE),"")</f>
        <v/>
      </c>
      <c r="AP207" s="19">
        <f>IFERROR(VLOOKUP(AN207,BUDGET_BANDS!$A$2:$C$9,3,FALSE),"")</f>
        <v/>
      </c>
    </row>
    <row r="208">
      <c r="A208" s="5" t="inlineStr">
        <is>
          <t>Craig Johnson</t>
        </is>
      </c>
      <c r="B208" s="5" t="inlineStr">
        <is>
          <t>T3</t>
        </is>
      </c>
      <c r="C208" s="5" t="inlineStr">
        <is>
          <t>Established (high output)</t>
        </is>
      </c>
      <c r="D208" s="5" t="inlineStr">
        <is>
          <t>US/Intl</t>
        </is>
      </c>
      <c r="E208" s="5" t="inlineStr">
        <is>
          <t>Comedy</t>
        </is>
      </c>
      <c r="F208" s="5" t="inlineStr">
        <is>
          <t>Romantic comedy,Action-comedy</t>
        </is>
      </c>
      <c r="G208" s="5" t="inlineStr">
        <is>
          <t>Low/Mid</t>
        </is>
      </c>
      <c r="H208" s="5" t="inlineStr">
        <is>
          <t>broad, commercial</t>
        </is>
      </c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>
        <is>
          <t>Seeded</t>
        </is>
      </c>
      <c r="S208" s="5" t="inlineStr">
        <is>
          <t>2026-01-29</t>
        </is>
      </c>
      <c r="T208" s="5" t="inlineStr">
        <is>
          <t>https://en.wikipedia.org/w/index.php?search=Craig+Johnson</t>
        </is>
      </c>
      <c r="U208" s="5" t="inlineStr">
        <is>
          <t>https://www.imdb.com/find/?q=Craig+Johnson&amp;s=nm</t>
        </is>
      </c>
      <c r="AO208" s="19">
        <f>IFERROR(VLOOKUP(AN208,BUDGET_BANDS!$A$2:$C$9,2,FALSE),"")</f>
        <v/>
      </c>
      <c r="AP208" s="19">
        <f>IFERROR(VLOOKUP(AN208,BUDGET_BANDS!$A$2:$C$9,3,FALSE),"")</f>
        <v/>
      </c>
    </row>
    <row r="209">
      <c r="A209" s="5" t="inlineStr">
        <is>
          <t>Darren Lynn Bousman</t>
        </is>
      </c>
      <c r="B209" s="5" t="inlineStr">
        <is>
          <t>T3</t>
        </is>
      </c>
      <c r="C209" s="5" t="inlineStr">
        <is>
          <t>Established (high output)</t>
        </is>
      </c>
      <c r="D209" s="5" t="inlineStr">
        <is>
          <t>US/Intl</t>
        </is>
      </c>
      <c r="E209" s="5" t="inlineStr">
        <is>
          <t>Horror</t>
        </is>
      </c>
      <c r="F209" s="5" t="inlineStr">
        <is>
          <t>Thriller/Mystery</t>
        </is>
      </c>
      <c r="G209" s="5" t="inlineStr">
        <is>
          <t>Low/Mid</t>
        </is>
      </c>
      <c r="H209" s="5" t="inlineStr">
        <is>
          <t>genre-forward</t>
        </is>
      </c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>
        <is>
          <t>Seeded</t>
        </is>
      </c>
      <c r="S209" s="5" t="inlineStr">
        <is>
          <t>2026-01-29</t>
        </is>
      </c>
      <c r="T209" s="5" t="inlineStr">
        <is>
          <t>https://en.wikipedia.org/w/index.php?search=Darren+Lynn+Bousman</t>
        </is>
      </c>
      <c r="U209" s="5" t="inlineStr">
        <is>
          <t>https://www.imdb.com/find/?q=Darren+Lynn+Bousman&amp;s=nm</t>
        </is>
      </c>
      <c r="AO209" s="19">
        <f>IFERROR(VLOOKUP(AN209,BUDGET_BANDS!$A$2:$C$9,2,FALSE),"")</f>
        <v/>
      </c>
      <c r="AP209" s="19">
        <f>IFERROR(VLOOKUP(AN209,BUDGET_BANDS!$A$2:$C$9,3,FALSE),"")</f>
        <v/>
      </c>
    </row>
    <row r="210">
      <c r="A210" s="5" t="inlineStr">
        <is>
          <t>David Bruckner</t>
        </is>
      </c>
      <c r="B210" s="5" t="inlineStr">
        <is>
          <t>T3</t>
        </is>
      </c>
      <c r="C210" s="5" t="inlineStr">
        <is>
          <t>Established (high output)</t>
        </is>
      </c>
      <c r="D210" s="5" t="inlineStr">
        <is>
          <t>US/Intl</t>
        </is>
      </c>
      <c r="E210" s="5" t="inlineStr">
        <is>
          <t>Horror</t>
        </is>
      </c>
      <c r="F210" s="5" t="inlineStr">
        <is>
          <t>Thriller/Mystery</t>
        </is>
      </c>
      <c r="G210" s="5" t="inlineStr">
        <is>
          <t>Low/Mid</t>
        </is>
      </c>
      <c r="H210" s="5" t="inlineStr">
        <is>
          <t>genre-forward</t>
        </is>
      </c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>
        <is>
          <t>Seeded</t>
        </is>
      </c>
      <c r="S210" s="5" t="inlineStr">
        <is>
          <t>2026-01-29</t>
        </is>
      </c>
      <c r="T210" s="5" t="inlineStr">
        <is>
          <t>https://en.wikipedia.org/w/index.php?search=David+Bruckner</t>
        </is>
      </c>
      <c r="U210" s="5" t="inlineStr">
        <is>
          <t>https://www.imdb.com/find/?q=David+Bruckner&amp;s=nm</t>
        </is>
      </c>
      <c r="AO210" s="19">
        <f>IFERROR(VLOOKUP(AN210,BUDGET_BANDS!$A$2:$C$9,2,FALSE),"")</f>
        <v/>
      </c>
      <c r="AP210" s="19">
        <f>IFERROR(VLOOKUP(AN210,BUDGET_BANDS!$A$2:$C$9,3,FALSE),"")</f>
        <v/>
      </c>
    </row>
    <row r="211">
      <c r="A211" s="5" t="inlineStr">
        <is>
          <t>David Michôd</t>
        </is>
      </c>
      <c r="B211" s="5" t="inlineStr">
        <is>
          <t>T3</t>
        </is>
      </c>
      <c r="C211" s="5" t="inlineStr">
        <is>
          <t>Established</t>
        </is>
      </c>
      <c r="D211" s="5" t="inlineStr">
        <is>
          <t>US/Intl</t>
        </is>
      </c>
      <c r="E211" s="5" t="inlineStr">
        <is>
          <t>Thriller/Mystery</t>
        </is>
      </c>
      <c r="F211" s="5" t="inlineStr">
        <is>
          <t>Crime/Heist,Drama</t>
        </is>
      </c>
      <c r="G211" s="5" t="inlineStr">
        <is>
          <t>Low/Mid</t>
        </is>
      </c>
      <c r="H211" s="5" t="inlineStr">
        <is>
          <t>tense, grounded</t>
        </is>
      </c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>
        <is>
          <t>Seeded</t>
        </is>
      </c>
      <c r="S211" s="5" t="inlineStr">
        <is>
          <t>2026-01-29</t>
        </is>
      </c>
      <c r="T211" s="5" t="inlineStr">
        <is>
          <t>https://en.wikipedia.org/w/index.php?search=David+Mich%C3%B4d</t>
        </is>
      </c>
      <c r="U211" s="5" t="inlineStr">
        <is>
          <t>https://www.imdb.com/find/?q=David+Mich%C3%B4d&amp;s=nm</t>
        </is>
      </c>
      <c r="AO211" s="19">
        <f>IFERROR(VLOOKUP(AN211,BUDGET_BANDS!$A$2:$C$9,2,FALSE),"")</f>
        <v/>
      </c>
      <c r="AP211" s="19">
        <f>IFERROR(VLOOKUP(AN211,BUDGET_BANDS!$A$2:$C$9,3,FALSE),"")</f>
        <v/>
      </c>
    </row>
    <row r="212">
      <c r="A212" s="5" t="inlineStr">
        <is>
          <t>David O. Russell</t>
        </is>
      </c>
      <c r="B212" s="5" t="inlineStr">
        <is>
          <t>T3</t>
        </is>
      </c>
      <c r="C212" s="5" t="inlineStr">
        <is>
          <t>Established</t>
        </is>
      </c>
      <c r="D212" s="5" t="inlineStr">
        <is>
          <t>US/UK</t>
        </is>
      </c>
      <c r="E212" s="5" t="inlineStr">
        <is>
          <t>Drama</t>
        </is>
      </c>
      <c r="F212" s="5" t="inlineStr">
        <is>
          <t>Biopic,Prestige drama</t>
        </is>
      </c>
      <c r="G212" s="5" t="inlineStr">
        <is>
          <t>Mid</t>
        </is>
      </c>
      <c r="H212" s="5" t="inlineStr">
        <is>
          <t>character-forward</t>
        </is>
      </c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>
        <is>
          <t>Seeded</t>
        </is>
      </c>
      <c r="S212" s="5" t="inlineStr">
        <is>
          <t>2026-01-29</t>
        </is>
      </c>
      <c r="T212" s="5" t="inlineStr">
        <is>
          <t>https://en.wikipedia.org/w/index.php?search=David+O.+Russell</t>
        </is>
      </c>
      <c r="U212" s="5" t="inlineStr">
        <is>
          <t>https://www.imdb.com/find/?q=David+O.+Russell&amp;s=nm</t>
        </is>
      </c>
      <c r="AO212" s="19">
        <f>IFERROR(VLOOKUP(AN212,BUDGET_BANDS!$A$2:$C$9,2,FALSE),"")</f>
        <v/>
      </c>
      <c r="AP212" s="19">
        <f>IFERROR(VLOOKUP(AN212,BUDGET_BANDS!$A$2:$C$9,3,FALSE),"")</f>
        <v/>
      </c>
    </row>
    <row r="213">
      <c r="A213" s="5" t="inlineStr">
        <is>
          <t>David Prior</t>
        </is>
      </c>
      <c r="B213" s="5" t="inlineStr">
        <is>
          <t>T3</t>
        </is>
      </c>
      <c r="C213" s="5" t="inlineStr">
        <is>
          <t>Established</t>
        </is>
      </c>
      <c r="D213" s="5" t="inlineStr">
        <is>
          <t>US/Intl</t>
        </is>
      </c>
      <c r="E213" s="5" t="inlineStr">
        <is>
          <t>Thriller/Mystery</t>
        </is>
      </c>
      <c r="F213" s="5" t="inlineStr">
        <is>
          <t>Crime/Heist,Drama</t>
        </is>
      </c>
      <c r="G213" s="5" t="inlineStr">
        <is>
          <t>Low/Mid</t>
        </is>
      </c>
      <c r="H213" s="5" t="inlineStr">
        <is>
          <t>tense, grounded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>
        <is>
          <t>Seeded</t>
        </is>
      </c>
      <c r="S213" s="5" t="inlineStr">
        <is>
          <t>2026-01-29</t>
        </is>
      </c>
      <c r="T213" s="5" t="inlineStr">
        <is>
          <t>https://en.wikipedia.org/w/index.php?search=David+Prior</t>
        </is>
      </c>
      <c r="U213" s="5" t="inlineStr">
        <is>
          <t>https://www.imdb.com/find/?q=David+Prior&amp;s=nm</t>
        </is>
      </c>
      <c r="AO213" s="19">
        <f>IFERROR(VLOOKUP(AN213,BUDGET_BANDS!$A$2:$C$9,2,FALSE),"")</f>
        <v/>
      </c>
      <c r="AP213" s="19">
        <f>IFERROR(VLOOKUP(AN213,BUDGET_BANDS!$A$2:$C$9,3,FALSE),"")</f>
        <v/>
      </c>
    </row>
    <row r="214">
      <c r="A214" s="5" t="inlineStr">
        <is>
          <t>David Robert Mitchell</t>
        </is>
      </c>
      <c r="B214" s="5" t="inlineStr">
        <is>
          <t>T3</t>
        </is>
      </c>
      <c r="C214" s="5" t="inlineStr">
        <is>
          <t>Established (high output)</t>
        </is>
      </c>
      <c r="D214" s="5" t="inlineStr">
        <is>
          <t>US/Intl</t>
        </is>
      </c>
      <c r="E214" s="5" t="inlineStr">
        <is>
          <t>Horror</t>
        </is>
      </c>
      <c r="F214" s="5" t="inlineStr">
        <is>
          <t>Thriller/Mystery</t>
        </is>
      </c>
      <c r="G214" s="5" t="inlineStr">
        <is>
          <t>Low/Mid</t>
        </is>
      </c>
      <c r="H214" s="5" t="inlineStr">
        <is>
          <t>genre-forward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>
        <is>
          <t>Seeded</t>
        </is>
      </c>
      <c r="S214" s="5" t="inlineStr">
        <is>
          <t>2026-01-29</t>
        </is>
      </c>
      <c r="T214" s="5" t="inlineStr">
        <is>
          <t>https://en.wikipedia.org/w/index.php?search=David+Robert+Mitchell</t>
        </is>
      </c>
      <c r="U214" s="5" t="inlineStr">
        <is>
          <t>https://www.imdb.com/find/?q=David+Robert+Mitchell&amp;s=nm</t>
        </is>
      </c>
      <c r="AO214" s="19">
        <f>IFERROR(VLOOKUP(AN214,BUDGET_BANDS!$A$2:$C$9,2,FALSE),"")</f>
        <v/>
      </c>
      <c r="AP214" s="19">
        <f>IFERROR(VLOOKUP(AN214,BUDGET_BANDS!$A$2:$C$9,3,FALSE),"")</f>
        <v/>
      </c>
    </row>
    <row r="215">
      <c r="A215" s="5" t="inlineStr">
        <is>
          <t>David Twohy</t>
        </is>
      </c>
      <c r="B215" s="5" t="inlineStr">
        <is>
          <t>T3</t>
        </is>
      </c>
      <c r="C215" s="5" t="inlineStr">
        <is>
          <t>Established (high output)</t>
        </is>
      </c>
      <c r="D215" s="5" t="inlineStr">
        <is>
          <t>US/Intl</t>
        </is>
      </c>
      <c r="E215" s="5" t="inlineStr">
        <is>
          <t>Action</t>
        </is>
      </c>
      <c r="F215" s="5" t="inlineStr">
        <is>
          <t>Thriller/Mystery</t>
        </is>
      </c>
      <c r="G215" s="5" t="inlineStr">
        <is>
          <t>Mid/Studio</t>
        </is>
      </c>
      <c r="H215" s="5" t="inlineStr">
        <is>
          <t>efficient, propulsive</t>
        </is>
      </c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>
        <is>
          <t>Seeded</t>
        </is>
      </c>
      <c r="S215" s="5" t="inlineStr">
        <is>
          <t>2026-01-29</t>
        </is>
      </c>
      <c r="T215" s="5" t="inlineStr">
        <is>
          <t>https://en.wikipedia.org/w/index.php?search=David+Twohy</t>
        </is>
      </c>
      <c r="U215" s="5" t="inlineStr">
        <is>
          <t>https://www.imdb.com/find/?q=David+Twohy&amp;s=nm</t>
        </is>
      </c>
      <c r="AO215" s="19">
        <f>IFERROR(VLOOKUP(AN215,BUDGET_BANDS!$A$2:$C$9,2,FALSE),"")</f>
        <v/>
      </c>
      <c r="AP215" s="19">
        <f>IFERROR(VLOOKUP(AN215,BUDGET_BANDS!$A$2:$C$9,3,FALSE),"")</f>
        <v/>
      </c>
    </row>
    <row r="216">
      <c r="A216" s="5" t="inlineStr">
        <is>
          <t>David Wain</t>
        </is>
      </c>
      <c r="B216" s="5" t="inlineStr">
        <is>
          <t>T3</t>
        </is>
      </c>
      <c r="C216" s="5" t="inlineStr">
        <is>
          <t>Established (high output)</t>
        </is>
      </c>
      <c r="D216" s="5" t="inlineStr">
        <is>
          <t>US/Intl</t>
        </is>
      </c>
      <c r="E216" s="5" t="inlineStr">
        <is>
          <t>Comedy</t>
        </is>
      </c>
      <c r="F216" s="5" t="inlineStr">
        <is>
          <t>Romantic comedy,Action-comedy</t>
        </is>
      </c>
      <c r="G216" s="5" t="inlineStr">
        <is>
          <t>Low/Mid</t>
        </is>
      </c>
      <c r="H216" s="5" t="inlineStr">
        <is>
          <t>broad, commercial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>
        <is>
          <t>Seeded</t>
        </is>
      </c>
      <c r="S216" s="5" t="inlineStr">
        <is>
          <t>2026-01-29</t>
        </is>
      </c>
      <c r="T216" s="5" t="inlineStr">
        <is>
          <t>https://en.wikipedia.org/w/index.php?search=David+Wain</t>
        </is>
      </c>
      <c r="U216" s="5" t="inlineStr">
        <is>
          <t>https://www.imdb.com/find/?q=David+Wain&amp;s=nm</t>
        </is>
      </c>
      <c r="AO216" s="19">
        <f>IFERROR(VLOOKUP(AN216,BUDGET_BANDS!$A$2:$C$9,2,FALSE),"")</f>
        <v/>
      </c>
      <c r="AP216" s="19">
        <f>IFERROR(VLOOKUP(AN216,BUDGET_BANDS!$A$2:$C$9,3,FALSE),"")</f>
        <v/>
      </c>
    </row>
    <row r="217">
      <c r="A217" s="5" t="inlineStr">
        <is>
          <t>David Yarovesky</t>
        </is>
      </c>
      <c r="B217" s="5" t="inlineStr">
        <is>
          <t>T3</t>
        </is>
      </c>
      <c r="C217" s="5" t="inlineStr">
        <is>
          <t>Established</t>
        </is>
      </c>
      <c r="D217" s="5" t="inlineStr">
        <is>
          <t>US/Intl</t>
        </is>
      </c>
      <c r="E217" s="5" t="inlineStr">
        <is>
          <t>Horror</t>
        </is>
      </c>
      <c r="F217" s="5" t="inlineStr">
        <is>
          <t>Thriller/Mystery</t>
        </is>
      </c>
      <c r="G217" s="5" t="inlineStr">
        <is>
          <t>Low/Mid</t>
        </is>
      </c>
      <c r="H217" s="5" t="inlineStr">
        <is>
          <t>genre-forward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>
        <is>
          <t>Seeded</t>
        </is>
      </c>
      <c r="S217" s="5" t="inlineStr">
        <is>
          <t>2026-01-29</t>
        </is>
      </c>
      <c r="T217" s="5" t="inlineStr">
        <is>
          <t>https://en.wikipedia.org/w/index.php?search=David+Yarovesky</t>
        </is>
      </c>
      <c r="U217" s="5" t="inlineStr">
        <is>
          <t>https://www.imdb.com/find/?q=David+Yarovesky&amp;s=nm</t>
        </is>
      </c>
      <c r="AO217" s="19">
        <f>IFERROR(VLOOKUP(AN217,BUDGET_BANDS!$A$2:$C$9,2,FALSE),"")</f>
        <v/>
      </c>
      <c r="AP217" s="19">
        <f>IFERROR(VLOOKUP(AN217,BUDGET_BANDS!$A$2:$C$9,3,FALSE),"")</f>
        <v/>
      </c>
    </row>
    <row r="218">
      <c r="A218" s="5" t="inlineStr">
        <is>
          <t>Dennis Dugan</t>
        </is>
      </c>
      <c r="B218" s="5" t="inlineStr">
        <is>
          <t>T3</t>
        </is>
      </c>
      <c r="C218" s="5" t="inlineStr">
        <is>
          <t>Established (high output)</t>
        </is>
      </c>
      <c r="D218" s="5" t="inlineStr">
        <is>
          <t>US/Intl</t>
        </is>
      </c>
      <c r="E218" s="5" t="inlineStr">
        <is>
          <t>Comedy</t>
        </is>
      </c>
      <c r="F218" s="5" t="inlineStr">
        <is>
          <t>Romantic comedy,Action-comedy</t>
        </is>
      </c>
      <c r="G218" s="5" t="inlineStr">
        <is>
          <t>Low/Mid</t>
        </is>
      </c>
      <c r="H218" s="5" t="inlineStr">
        <is>
          <t>broad, commercial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>
        <is>
          <t>Seeded</t>
        </is>
      </c>
      <c r="S218" s="5" t="inlineStr">
        <is>
          <t>2026-01-29</t>
        </is>
      </c>
      <c r="T218" s="5" t="inlineStr">
        <is>
          <t>https://en.wikipedia.org/w/index.php?search=Dennis+Dugan</t>
        </is>
      </c>
      <c r="U218" s="5" t="inlineStr">
        <is>
          <t>https://www.imdb.com/find/?q=Dennis+Dugan&amp;s=nm</t>
        </is>
      </c>
      <c r="AO218" s="19">
        <f>IFERROR(VLOOKUP(AN218,BUDGET_BANDS!$A$2:$C$9,2,FALSE),"")</f>
        <v/>
      </c>
      <c r="AP218" s="19">
        <f>IFERROR(VLOOKUP(AN218,BUDGET_BANDS!$A$2:$C$9,3,FALSE),"")</f>
        <v/>
      </c>
    </row>
    <row r="219">
      <c r="A219" s="5" t="inlineStr">
        <is>
          <t>Denzel Washington</t>
        </is>
      </c>
      <c r="B219" s="5" t="inlineStr">
        <is>
          <t>T3</t>
        </is>
      </c>
      <c r="C219" s="5" t="inlineStr">
        <is>
          <t>Established</t>
        </is>
      </c>
      <c r="D219" s="5" t="inlineStr">
        <is>
          <t>US/UK</t>
        </is>
      </c>
      <c r="E219" s="5" t="inlineStr">
        <is>
          <t>Drama</t>
        </is>
      </c>
      <c r="F219" s="5" t="inlineStr">
        <is>
          <t>Biopic,Prestige drama</t>
        </is>
      </c>
      <c r="G219" s="5" t="inlineStr">
        <is>
          <t>Mid</t>
        </is>
      </c>
      <c r="H219" s="5" t="inlineStr">
        <is>
          <t>character-forward</t>
        </is>
      </c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>
        <is>
          <t>Seeded</t>
        </is>
      </c>
      <c r="S219" s="5" t="inlineStr">
        <is>
          <t>2026-01-29</t>
        </is>
      </c>
      <c r="T219" s="5" t="inlineStr">
        <is>
          <t>https://en.wikipedia.org/w/index.php?search=Denzel+Washington</t>
        </is>
      </c>
      <c r="U219" s="5" t="inlineStr">
        <is>
          <t>https://www.imdb.com/find/?q=Denzel+Washington&amp;s=nm</t>
        </is>
      </c>
      <c r="AO219" s="19">
        <f>IFERROR(VLOOKUP(AN219,BUDGET_BANDS!$A$2:$C$9,2,FALSE),"")</f>
        <v/>
      </c>
      <c r="AP219" s="19">
        <f>IFERROR(VLOOKUP(AN219,BUDGET_BANDS!$A$2:$C$9,3,FALSE),"")</f>
        <v/>
      </c>
    </row>
    <row r="220">
      <c r="A220" s="5" t="inlineStr">
        <is>
          <t>Dexter Fletcher</t>
        </is>
      </c>
      <c r="B220" s="5" t="inlineStr">
        <is>
          <t>T3</t>
        </is>
      </c>
      <c r="C220" s="5" t="inlineStr">
        <is>
          <t>Established</t>
        </is>
      </c>
      <c r="D220" s="5" t="inlineStr">
        <is>
          <t>US/Intl</t>
        </is>
      </c>
      <c r="E220" s="5" t="inlineStr">
        <is>
          <t>Musical</t>
        </is>
      </c>
      <c r="F220" s="5" t="inlineStr">
        <is>
          <t>Drama,Comedy</t>
        </is>
      </c>
      <c r="G220" s="5" t="inlineStr">
        <is>
          <t>Mid/Studio</t>
        </is>
      </c>
      <c r="H220" s="5" t="inlineStr">
        <is>
          <t>music-driven</t>
        </is>
      </c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>
        <is>
          <t>Seeded</t>
        </is>
      </c>
      <c r="S220" s="5" t="inlineStr">
        <is>
          <t>2026-01-29</t>
        </is>
      </c>
      <c r="T220" s="5" t="inlineStr">
        <is>
          <t>https://en.wikipedia.org/w/index.php?search=Dexter+Fletcher</t>
        </is>
      </c>
      <c r="U220" s="5" t="inlineStr">
        <is>
          <t>https://www.imdb.com/find/?q=Dexter+Fletcher&amp;s=nm</t>
        </is>
      </c>
      <c r="AO220" s="19">
        <f>IFERROR(VLOOKUP(AN220,BUDGET_BANDS!$A$2:$C$9,2,FALSE),"")</f>
        <v/>
      </c>
      <c r="AP220" s="19">
        <f>IFERROR(VLOOKUP(AN220,BUDGET_BANDS!$A$2:$C$9,3,FALSE),"")</f>
        <v/>
      </c>
    </row>
    <row r="221">
      <c r="A221" s="5" t="inlineStr">
        <is>
          <t>Drew Goddard</t>
        </is>
      </c>
      <c r="B221" s="5" t="inlineStr">
        <is>
          <t>T3</t>
        </is>
      </c>
      <c r="C221" s="5" t="inlineStr">
        <is>
          <t>Established</t>
        </is>
      </c>
      <c r="D221" s="5" t="inlineStr">
        <is>
          <t>US/Intl</t>
        </is>
      </c>
      <c r="E221" s="5" t="inlineStr">
        <is>
          <t>Horror</t>
        </is>
      </c>
      <c r="F221" s="5" t="inlineStr">
        <is>
          <t>Thriller/Mystery</t>
        </is>
      </c>
      <c r="G221" s="5" t="inlineStr">
        <is>
          <t>Low/Mid</t>
        </is>
      </c>
      <c r="H221" s="5" t="inlineStr">
        <is>
          <t>genre-forward</t>
        </is>
      </c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>
        <is>
          <t>Seeded</t>
        </is>
      </c>
      <c r="S221" s="5" t="inlineStr">
        <is>
          <t>2026-01-29</t>
        </is>
      </c>
      <c r="T221" s="5" t="inlineStr">
        <is>
          <t>https://en.wikipedia.org/w/index.php?search=Drew+Goddard</t>
        </is>
      </c>
      <c r="U221" s="5" t="inlineStr">
        <is>
          <t>https://www.imdb.com/find/?q=Drew+Goddard&amp;s=nm</t>
        </is>
      </c>
      <c r="AO221" s="19">
        <f>IFERROR(VLOOKUP(AN221,BUDGET_BANDS!$A$2:$C$9,2,FALSE),"")</f>
        <v/>
      </c>
      <c r="AP221" s="19">
        <f>IFERROR(VLOOKUP(AN221,BUDGET_BANDS!$A$2:$C$9,3,FALSE),"")</f>
        <v/>
      </c>
    </row>
    <row r="222">
      <c r="A222" s="5" t="inlineStr">
        <is>
          <t>Garth Davis</t>
        </is>
      </c>
      <c r="B222" s="5" t="inlineStr">
        <is>
          <t>T3</t>
        </is>
      </c>
      <c r="C222" s="5" t="inlineStr">
        <is>
          <t>Established</t>
        </is>
      </c>
      <c r="D222" s="5" t="inlineStr">
        <is>
          <t>US/UK</t>
        </is>
      </c>
      <c r="E222" s="5" t="inlineStr">
        <is>
          <t>Drama</t>
        </is>
      </c>
      <c r="F222" s="5" t="inlineStr">
        <is>
          <t>Biopic,Prestige drama</t>
        </is>
      </c>
      <c r="G222" s="5" t="inlineStr">
        <is>
          <t>Mid</t>
        </is>
      </c>
      <c r="H222" s="5" t="inlineStr">
        <is>
          <t>character-forward</t>
        </is>
      </c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>
        <is>
          <t>Seeded</t>
        </is>
      </c>
      <c r="S222" s="5" t="inlineStr">
        <is>
          <t>2026-01-29</t>
        </is>
      </c>
      <c r="T222" s="5" t="inlineStr">
        <is>
          <t>https://en.wikipedia.org/w/index.php?search=Garth+Davis</t>
        </is>
      </c>
      <c r="U222" s="5" t="inlineStr">
        <is>
          <t>https://www.imdb.com/find/?q=Garth+Davis&amp;s=nm</t>
        </is>
      </c>
      <c r="AO222" s="19">
        <f>IFERROR(VLOOKUP(AN222,BUDGET_BANDS!$A$2:$C$9,2,FALSE),"")</f>
        <v/>
      </c>
      <c r="AP222" s="19">
        <f>IFERROR(VLOOKUP(AN222,BUDGET_BANDS!$A$2:$C$9,3,FALSE),"")</f>
        <v/>
      </c>
    </row>
    <row r="223">
      <c r="A223" s="5" t="inlineStr">
        <is>
          <t>Gary Fleder</t>
        </is>
      </c>
      <c r="B223" s="5" t="inlineStr">
        <is>
          <t>T3</t>
        </is>
      </c>
      <c r="C223" s="5" t="inlineStr">
        <is>
          <t>Established (high output)</t>
        </is>
      </c>
      <c r="D223" s="5" t="inlineStr">
        <is>
          <t>US/Intl</t>
        </is>
      </c>
      <c r="E223" s="5" t="inlineStr">
        <is>
          <t>Action</t>
        </is>
      </c>
      <c r="F223" s="5" t="inlineStr">
        <is>
          <t>Thriller/Mystery</t>
        </is>
      </c>
      <c r="G223" s="5" t="inlineStr">
        <is>
          <t>Mid/Studio</t>
        </is>
      </c>
      <c r="H223" s="5" t="inlineStr">
        <is>
          <t>efficient, propulsive</t>
        </is>
      </c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>
        <is>
          <t>Seeded</t>
        </is>
      </c>
      <c r="S223" s="5" t="inlineStr">
        <is>
          <t>2026-01-29</t>
        </is>
      </c>
      <c r="T223" s="5" t="inlineStr">
        <is>
          <t>https://en.wikipedia.org/w/index.php?search=Gary+Fleder</t>
        </is>
      </c>
      <c r="U223" s="5" t="inlineStr">
        <is>
          <t>https://www.imdb.com/find/?q=Gary+Fleder&amp;s=nm</t>
        </is>
      </c>
      <c r="AO223" s="19">
        <f>IFERROR(VLOOKUP(AN223,BUDGET_BANDS!$A$2:$C$9,2,FALSE),"")</f>
        <v/>
      </c>
      <c r="AP223" s="19">
        <f>IFERROR(VLOOKUP(AN223,BUDGET_BANDS!$A$2:$C$9,3,FALSE),"")</f>
        <v/>
      </c>
    </row>
    <row r="224">
      <c r="A224" s="5" t="inlineStr">
        <is>
          <t>George Clooney</t>
        </is>
      </c>
      <c r="B224" s="5" t="inlineStr">
        <is>
          <t>T3</t>
        </is>
      </c>
      <c r="C224" s="5" t="inlineStr">
        <is>
          <t>Established</t>
        </is>
      </c>
      <c r="D224" s="5" t="inlineStr">
        <is>
          <t>US/UK</t>
        </is>
      </c>
      <c r="E224" s="5" t="inlineStr">
        <is>
          <t>Drama</t>
        </is>
      </c>
      <c r="F224" s="5" t="inlineStr">
        <is>
          <t>Biopic,Prestige drama</t>
        </is>
      </c>
      <c r="G224" s="5" t="inlineStr">
        <is>
          <t>Mid</t>
        </is>
      </c>
      <c r="H224" s="5" t="inlineStr">
        <is>
          <t>character-forward</t>
        </is>
      </c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>
        <is>
          <t>Seeded</t>
        </is>
      </c>
      <c r="S224" s="5" t="inlineStr">
        <is>
          <t>2026-01-29</t>
        </is>
      </c>
      <c r="T224" s="5" t="inlineStr">
        <is>
          <t>https://en.wikipedia.org/w/index.php?search=George+Clooney</t>
        </is>
      </c>
      <c r="U224" s="5" t="inlineStr">
        <is>
          <t>https://www.imdb.com/find/?q=George+Clooney&amp;s=nm</t>
        </is>
      </c>
      <c r="AO224" s="19">
        <f>IFERROR(VLOOKUP(AN224,BUDGET_BANDS!$A$2:$C$9,2,FALSE),"")</f>
        <v/>
      </c>
      <c r="AP224" s="19">
        <f>IFERROR(VLOOKUP(AN224,BUDGET_BANDS!$A$2:$C$9,3,FALSE),"")</f>
        <v/>
      </c>
    </row>
    <row r="225">
      <c r="A225" s="5" t="inlineStr">
        <is>
          <t>Gerard Johnstone</t>
        </is>
      </c>
      <c r="B225" s="5" t="inlineStr">
        <is>
          <t>T3</t>
        </is>
      </c>
      <c r="C225" s="5" t="inlineStr">
        <is>
          <t>Established (high output)</t>
        </is>
      </c>
      <c r="D225" s="5" t="inlineStr">
        <is>
          <t>US/Intl</t>
        </is>
      </c>
      <c r="E225" s="5" t="inlineStr">
        <is>
          <t>Horror</t>
        </is>
      </c>
      <c r="F225" s="5" t="inlineStr">
        <is>
          <t>Thriller/Mystery</t>
        </is>
      </c>
      <c r="G225" s="5" t="inlineStr">
        <is>
          <t>Low/Mid</t>
        </is>
      </c>
      <c r="H225" s="5" t="inlineStr">
        <is>
          <t>genre-forward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>
        <is>
          <t>Seeded</t>
        </is>
      </c>
      <c r="S225" s="5" t="inlineStr">
        <is>
          <t>2026-01-29</t>
        </is>
      </c>
      <c r="T225" s="5" t="inlineStr">
        <is>
          <t>https://en.wikipedia.org/w/index.php?search=Gerard+Johnstone</t>
        </is>
      </c>
      <c r="U225" s="5" t="inlineStr">
        <is>
          <t>https://www.imdb.com/find/?q=Gerard+Johnstone&amp;s=nm</t>
        </is>
      </c>
      <c r="AO225" s="19">
        <f>IFERROR(VLOOKUP(AN225,BUDGET_BANDS!$A$2:$C$9,2,FALSE),"")</f>
        <v/>
      </c>
      <c r="AP225" s="19">
        <f>IFERROR(VLOOKUP(AN225,BUDGET_BANDS!$A$2:$C$9,3,FALSE),"")</f>
        <v/>
      </c>
    </row>
    <row r="226">
      <c r="A226" s="5" t="inlineStr">
        <is>
          <t>Greg Berlanti</t>
        </is>
      </c>
      <c r="B226" s="5" t="inlineStr">
        <is>
          <t>T3</t>
        </is>
      </c>
      <c r="C226" s="5" t="inlineStr">
        <is>
          <t>Established</t>
        </is>
      </c>
      <c r="D226" s="5" t="inlineStr">
        <is>
          <t>US/UK</t>
        </is>
      </c>
      <c r="E226" s="5" t="inlineStr">
        <is>
          <t>Romantic comedy</t>
        </is>
      </c>
      <c r="F226" s="5" t="inlineStr">
        <is>
          <t>Comedy,Drama</t>
        </is>
      </c>
      <c r="G226" s="5" t="inlineStr">
        <is>
          <t>Mid/Studio</t>
        </is>
      </c>
      <c r="H226" s="5" t="inlineStr">
        <is>
          <t>warm, commercial</t>
        </is>
      </c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>
        <is>
          <t>Seeded</t>
        </is>
      </c>
      <c r="S226" s="5" t="inlineStr">
        <is>
          <t>2026-01-29</t>
        </is>
      </c>
      <c r="T226" s="5" t="inlineStr">
        <is>
          <t>https://en.wikipedia.org/w/index.php?search=Greg+Berlanti</t>
        </is>
      </c>
      <c r="U226" s="5" t="inlineStr">
        <is>
          <t>https://www.imdb.com/find/?q=Greg+Berlanti&amp;s=nm</t>
        </is>
      </c>
      <c r="AO226" s="19">
        <f>IFERROR(VLOOKUP(AN226,BUDGET_BANDS!$A$2:$C$9,2,FALSE),"")</f>
        <v/>
      </c>
      <c r="AP226" s="19">
        <f>IFERROR(VLOOKUP(AN226,BUDGET_BANDS!$A$2:$C$9,3,FALSE),"")</f>
        <v/>
      </c>
    </row>
    <row r="227">
      <c r="A227" s="5" t="inlineStr">
        <is>
          <t>Gregor Jordan</t>
        </is>
      </c>
      <c r="B227" s="5" t="inlineStr">
        <is>
          <t>T3</t>
        </is>
      </c>
      <c r="C227" s="5" t="inlineStr">
        <is>
          <t>Established</t>
        </is>
      </c>
      <c r="D227" s="5" t="inlineStr">
        <is>
          <t>US/Intl</t>
        </is>
      </c>
      <c r="E227" s="5" t="inlineStr">
        <is>
          <t>Horror</t>
        </is>
      </c>
      <c r="F227" s="5" t="inlineStr">
        <is>
          <t>Thriller/Mystery</t>
        </is>
      </c>
      <c r="G227" s="5" t="inlineStr">
        <is>
          <t>Low/Mid</t>
        </is>
      </c>
      <c r="H227" s="5" t="inlineStr">
        <is>
          <t>genre-forward</t>
        </is>
      </c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>
        <is>
          <t>Seeded</t>
        </is>
      </c>
      <c r="S227" s="5" t="inlineStr">
        <is>
          <t>2026-01-29</t>
        </is>
      </c>
      <c r="T227" s="5" t="inlineStr">
        <is>
          <t>https://en.wikipedia.org/w/index.php?search=Gregor+Jordan</t>
        </is>
      </c>
      <c r="U227" s="5" t="inlineStr">
        <is>
          <t>https://www.imdb.com/find/?q=Gregor+Jordan&amp;s=nm</t>
        </is>
      </c>
      <c r="AO227" s="19">
        <f>IFERROR(VLOOKUP(AN227,BUDGET_BANDS!$A$2:$C$9,2,FALSE),"")</f>
        <v/>
      </c>
      <c r="AP227" s="19">
        <f>IFERROR(VLOOKUP(AN227,BUDGET_BANDS!$A$2:$C$9,3,FALSE),"")</f>
        <v/>
      </c>
    </row>
    <row r="228">
      <c r="A228" s="5" t="inlineStr">
        <is>
          <t>Hans Petter Moland</t>
        </is>
      </c>
      <c r="B228" s="5" t="inlineStr">
        <is>
          <t>T3</t>
        </is>
      </c>
      <c r="C228" s="5" t="inlineStr">
        <is>
          <t>Established</t>
        </is>
      </c>
      <c r="D228" s="5" t="inlineStr">
        <is>
          <t>US/Intl</t>
        </is>
      </c>
      <c r="E228" s="5" t="inlineStr">
        <is>
          <t>Horror</t>
        </is>
      </c>
      <c r="F228" s="5" t="inlineStr">
        <is>
          <t>Thriller/Mystery</t>
        </is>
      </c>
      <c r="G228" s="5" t="inlineStr">
        <is>
          <t>Low/Mid</t>
        </is>
      </c>
      <c r="H228" s="5" t="inlineStr">
        <is>
          <t>genre-forward</t>
        </is>
      </c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>
        <is>
          <t>Seeded</t>
        </is>
      </c>
      <c r="S228" s="5" t="inlineStr">
        <is>
          <t>2026-01-29</t>
        </is>
      </c>
      <c r="T228" s="5" t="inlineStr">
        <is>
          <t>https://en.wikipedia.org/w/index.php?search=Hans+Petter+Moland</t>
        </is>
      </c>
      <c r="U228" s="5" t="inlineStr">
        <is>
          <t>https://www.imdb.com/find/?q=Hans+Petter+Moland&amp;s=nm</t>
        </is>
      </c>
      <c r="AO228" s="19">
        <f>IFERROR(VLOOKUP(AN228,BUDGET_BANDS!$A$2:$C$9,2,FALSE),"")</f>
        <v/>
      </c>
      <c r="AP228" s="19">
        <f>IFERROR(VLOOKUP(AN228,BUDGET_BANDS!$A$2:$C$9,3,FALSE),"")</f>
        <v/>
      </c>
    </row>
    <row r="229">
      <c r="A229" s="5" t="inlineStr">
        <is>
          <t>Ilya Naishuller</t>
        </is>
      </c>
      <c r="B229" s="5" t="inlineStr">
        <is>
          <t>T3</t>
        </is>
      </c>
      <c r="C229" s="5" t="inlineStr">
        <is>
          <t>Established (high output)</t>
        </is>
      </c>
      <c r="D229" s="5" t="inlineStr">
        <is>
          <t>US/Intl</t>
        </is>
      </c>
      <c r="E229" s="5" t="inlineStr">
        <is>
          <t>Action</t>
        </is>
      </c>
      <c r="F229" s="5" t="inlineStr">
        <is>
          <t>Thriller/Mystery</t>
        </is>
      </c>
      <c r="G229" s="5" t="inlineStr">
        <is>
          <t>Mid/Studio</t>
        </is>
      </c>
      <c r="H229" s="5" t="inlineStr">
        <is>
          <t>efficient, propulsive</t>
        </is>
      </c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>
        <is>
          <t>Seeded</t>
        </is>
      </c>
      <c r="S229" s="5" t="inlineStr">
        <is>
          <t>2026-01-29</t>
        </is>
      </c>
      <c r="T229" s="5" t="inlineStr">
        <is>
          <t>https://en.wikipedia.org/w/index.php?search=Ilya+Naishuller</t>
        </is>
      </c>
      <c r="U229" s="5" t="inlineStr">
        <is>
          <t>https://www.imdb.com/find/?q=Ilya+Naishuller&amp;s=nm</t>
        </is>
      </c>
      <c r="AO229" s="19">
        <f>IFERROR(VLOOKUP(AN229,BUDGET_BANDS!$A$2:$C$9,2,FALSE),"")</f>
        <v/>
      </c>
      <c r="AP229" s="19">
        <f>IFERROR(VLOOKUP(AN229,BUDGET_BANDS!$A$2:$C$9,3,FALSE),"")</f>
        <v/>
      </c>
    </row>
    <row r="230">
      <c r="A230" s="5" t="inlineStr">
        <is>
          <t>Isaac Florentine</t>
        </is>
      </c>
      <c r="B230" s="5" t="inlineStr">
        <is>
          <t>T3</t>
        </is>
      </c>
      <c r="C230" s="5" t="inlineStr">
        <is>
          <t>Established (high output)</t>
        </is>
      </c>
      <c r="D230" s="5" t="inlineStr">
        <is>
          <t>US/Intl</t>
        </is>
      </c>
      <c r="E230" s="5" t="inlineStr">
        <is>
          <t>Action</t>
        </is>
      </c>
      <c r="F230" s="5" t="inlineStr">
        <is>
          <t>Thriller/Mystery</t>
        </is>
      </c>
      <c r="G230" s="5" t="inlineStr">
        <is>
          <t>Mid/Studio</t>
        </is>
      </c>
      <c r="H230" s="5" t="inlineStr">
        <is>
          <t>efficient, propulsive</t>
        </is>
      </c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>
        <is>
          <t>Seeded</t>
        </is>
      </c>
      <c r="S230" s="5" t="inlineStr">
        <is>
          <t>2026-01-29</t>
        </is>
      </c>
      <c r="T230" s="5" t="inlineStr">
        <is>
          <t>https://en.wikipedia.org/w/index.php?search=Isaac+Florentine</t>
        </is>
      </c>
      <c r="U230" s="5" t="inlineStr">
        <is>
          <t>https://www.imdb.com/find/?q=Isaac+Florentine&amp;s=nm</t>
        </is>
      </c>
      <c r="AO230" s="19">
        <f>IFERROR(VLOOKUP(AN230,BUDGET_BANDS!$A$2:$C$9,2,FALSE),"")</f>
        <v/>
      </c>
      <c r="AP230" s="19">
        <f>IFERROR(VLOOKUP(AN230,BUDGET_BANDS!$A$2:$C$9,3,FALSE),"")</f>
        <v/>
      </c>
    </row>
    <row r="231">
      <c r="A231" s="5" t="inlineStr">
        <is>
          <t>J. Blakeson</t>
        </is>
      </c>
      <c r="B231" s="5" t="inlineStr">
        <is>
          <t>T3</t>
        </is>
      </c>
      <c r="C231" s="5" t="inlineStr">
        <is>
          <t>Established</t>
        </is>
      </c>
      <c r="D231" s="5" t="inlineStr">
        <is>
          <t>US/Intl</t>
        </is>
      </c>
      <c r="E231" s="5" t="inlineStr">
        <is>
          <t>Thriller/Mystery</t>
        </is>
      </c>
      <c r="F231" s="5" t="inlineStr">
        <is>
          <t>Crime/Heist,Drama</t>
        </is>
      </c>
      <c r="G231" s="5" t="inlineStr">
        <is>
          <t>Low/Mid</t>
        </is>
      </c>
      <c r="H231" s="5" t="inlineStr">
        <is>
          <t>tense, grounded</t>
        </is>
      </c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>
        <is>
          <t>Seeded</t>
        </is>
      </c>
      <c r="S231" s="5" t="inlineStr">
        <is>
          <t>2026-01-29</t>
        </is>
      </c>
      <c r="T231" s="5" t="inlineStr">
        <is>
          <t>https://en.wikipedia.org/w/index.php?search=J.+Blakeson</t>
        </is>
      </c>
      <c r="U231" s="5" t="inlineStr">
        <is>
          <t>https://www.imdb.com/find/?q=J.+Blakeson&amp;s=nm</t>
        </is>
      </c>
      <c r="AO231" s="19">
        <f>IFERROR(VLOOKUP(AN231,BUDGET_BANDS!$A$2:$C$9,2,FALSE),"")</f>
        <v/>
      </c>
      <c r="AP231" s="19">
        <f>IFERROR(VLOOKUP(AN231,BUDGET_BANDS!$A$2:$C$9,3,FALSE),"")</f>
        <v/>
      </c>
    </row>
    <row r="232">
      <c r="A232" s="5" t="inlineStr">
        <is>
          <t>J. J. Perry</t>
        </is>
      </c>
      <c r="B232" s="5" t="inlineStr">
        <is>
          <t>T3</t>
        </is>
      </c>
      <c r="C232" s="5" t="inlineStr">
        <is>
          <t>Established (high output)</t>
        </is>
      </c>
      <c r="D232" s="5" t="inlineStr">
        <is>
          <t>US/Intl</t>
        </is>
      </c>
      <c r="E232" s="5" t="inlineStr">
        <is>
          <t>Action</t>
        </is>
      </c>
      <c r="F232" s="5" t="inlineStr">
        <is>
          <t>Thriller/Mystery</t>
        </is>
      </c>
      <c r="G232" s="5" t="inlineStr">
        <is>
          <t>Mid/Studio</t>
        </is>
      </c>
      <c r="H232" s="5" t="inlineStr">
        <is>
          <t>efficient, propulsive</t>
        </is>
      </c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>
        <is>
          <t>Seeded</t>
        </is>
      </c>
      <c r="S232" s="5" t="inlineStr">
        <is>
          <t>2026-01-29</t>
        </is>
      </c>
      <c r="T232" s="5" t="inlineStr">
        <is>
          <t>https://en.wikipedia.org/w/index.php?search=J.+J.+Perry</t>
        </is>
      </c>
      <c r="U232" s="5" t="inlineStr">
        <is>
          <t>https://www.imdb.com/find/?q=J.+J.+Perry&amp;s=nm</t>
        </is>
      </c>
      <c r="AO232" s="19">
        <f>IFERROR(VLOOKUP(AN232,BUDGET_BANDS!$A$2:$C$9,2,FALSE),"")</f>
        <v/>
      </c>
      <c r="AP232" s="19">
        <f>IFERROR(VLOOKUP(AN232,BUDGET_BANDS!$A$2:$C$9,3,FALSE),"")</f>
        <v/>
      </c>
    </row>
    <row r="233">
      <c r="A233" s="5" t="inlineStr">
        <is>
          <t>Jake Szymanski</t>
        </is>
      </c>
      <c r="B233" s="5" t="inlineStr">
        <is>
          <t>T3</t>
        </is>
      </c>
      <c r="C233" s="5" t="inlineStr">
        <is>
          <t>Established (high output)</t>
        </is>
      </c>
      <c r="D233" s="5" t="inlineStr">
        <is>
          <t>US/Intl</t>
        </is>
      </c>
      <c r="E233" s="5" t="inlineStr">
        <is>
          <t>Comedy</t>
        </is>
      </c>
      <c r="F233" s="5" t="inlineStr">
        <is>
          <t>Romantic comedy,Action-comedy</t>
        </is>
      </c>
      <c r="G233" s="5" t="inlineStr">
        <is>
          <t>Low/Mid</t>
        </is>
      </c>
      <c r="H233" s="5" t="inlineStr">
        <is>
          <t>broad, commercial</t>
        </is>
      </c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>
        <is>
          <t>Seeded</t>
        </is>
      </c>
      <c r="S233" s="5" t="inlineStr">
        <is>
          <t>2026-01-29</t>
        </is>
      </c>
      <c r="T233" s="5" t="inlineStr">
        <is>
          <t>https://en.wikipedia.org/w/index.php?search=Jake+Szymanski</t>
        </is>
      </c>
      <c r="U233" s="5" t="inlineStr">
        <is>
          <t>https://www.imdb.com/find/?q=Jake+Szymanski&amp;s=nm</t>
        </is>
      </c>
      <c r="AO233" s="19">
        <f>IFERROR(VLOOKUP(AN233,BUDGET_BANDS!$A$2:$C$9,2,FALSE),"")</f>
        <v/>
      </c>
      <c r="AP233" s="19">
        <f>IFERROR(VLOOKUP(AN233,BUDGET_BANDS!$A$2:$C$9,3,FALSE),"")</f>
        <v/>
      </c>
    </row>
    <row r="234">
      <c r="A234" s="5" t="inlineStr">
        <is>
          <t>James Watkins</t>
        </is>
      </c>
      <c r="B234" s="5" t="inlineStr">
        <is>
          <t>T3</t>
        </is>
      </c>
      <c r="C234" s="5" t="inlineStr">
        <is>
          <t>Established</t>
        </is>
      </c>
      <c r="D234" s="5" t="inlineStr">
        <is>
          <t>US/Intl</t>
        </is>
      </c>
      <c r="E234" s="5" t="inlineStr">
        <is>
          <t>Thriller/Mystery</t>
        </is>
      </c>
      <c r="F234" s="5" t="inlineStr">
        <is>
          <t>Crime/Heist,Drama</t>
        </is>
      </c>
      <c r="G234" s="5" t="inlineStr">
        <is>
          <t>Low/Mid</t>
        </is>
      </c>
      <c r="H234" s="5" t="inlineStr">
        <is>
          <t>tense, grounded</t>
        </is>
      </c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>
        <is>
          <t>Seeded</t>
        </is>
      </c>
      <c r="S234" s="5" t="inlineStr">
        <is>
          <t>2026-01-29</t>
        </is>
      </c>
      <c r="T234" s="5" t="inlineStr">
        <is>
          <t>https://en.wikipedia.org/w/index.php?search=James+Watkins</t>
        </is>
      </c>
      <c r="U234" s="5" t="inlineStr">
        <is>
          <t>https://www.imdb.com/find/?q=James+Watkins&amp;s=nm</t>
        </is>
      </c>
      <c r="AO234" s="19">
        <f>IFERROR(VLOOKUP(AN234,BUDGET_BANDS!$A$2:$C$9,2,FALSE),"")</f>
        <v/>
      </c>
      <c r="AP234" s="19">
        <f>IFERROR(VLOOKUP(AN234,BUDGET_BANDS!$A$2:$C$9,3,FALSE),"")</f>
        <v/>
      </c>
    </row>
    <row r="235">
      <c r="A235" s="5" t="inlineStr">
        <is>
          <t>Jason Bateman</t>
        </is>
      </c>
      <c r="B235" s="5" t="inlineStr">
        <is>
          <t>T3</t>
        </is>
      </c>
      <c r="C235" s="5" t="inlineStr">
        <is>
          <t>Established</t>
        </is>
      </c>
      <c r="D235" s="5" t="inlineStr">
        <is>
          <t>US/UK</t>
        </is>
      </c>
      <c r="E235" s="5" t="inlineStr">
        <is>
          <t>Drama</t>
        </is>
      </c>
      <c r="F235" s="5" t="inlineStr">
        <is>
          <t>Biopic,Prestige drama</t>
        </is>
      </c>
      <c r="G235" s="5" t="inlineStr">
        <is>
          <t>Mid</t>
        </is>
      </c>
      <c r="H235" s="5" t="inlineStr">
        <is>
          <t>character-forward</t>
        </is>
      </c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>
        <is>
          <t>Seeded</t>
        </is>
      </c>
      <c r="S235" s="5" t="inlineStr">
        <is>
          <t>2026-01-29</t>
        </is>
      </c>
      <c r="T235" s="5" t="inlineStr">
        <is>
          <t>https://en.wikipedia.org/w/index.php?search=Jason+Bateman</t>
        </is>
      </c>
      <c r="U235" s="5" t="inlineStr">
        <is>
          <t>https://www.imdb.com/find/?q=Jason+Bateman&amp;s=nm</t>
        </is>
      </c>
      <c r="AO235" s="19">
        <f>IFERROR(VLOOKUP(AN235,BUDGET_BANDS!$A$2:$C$9,2,FALSE),"")</f>
        <v/>
      </c>
      <c r="AP235" s="19">
        <f>IFERROR(VLOOKUP(AN235,BUDGET_BANDS!$A$2:$C$9,3,FALSE),"")</f>
        <v/>
      </c>
    </row>
    <row r="236">
      <c r="A236" s="5" t="inlineStr">
        <is>
          <t>Jason Moore</t>
        </is>
      </c>
      <c r="B236" s="5" t="inlineStr">
        <is>
          <t>T3</t>
        </is>
      </c>
      <c r="C236" s="5" t="inlineStr">
        <is>
          <t>Established</t>
        </is>
      </c>
      <c r="D236" s="5" t="inlineStr">
        <is>
          <t>US/UK</t>
        </is>
      </c>
      <c r="E236" s="5" t="inlineStr">
        <is>
          <t>Romantic comedy</t>
        </is>
      </c>
      <c r="F236" s="5" t="inlineStr">
        <is>
          <t>Comedy,Drama</t>
        </is>
      </c>
      <c r="G236" s="5" t="inlineStr">
        <is>
          <t>Mid/Studio</t>
        </is>
      </c>
      <c r="H236" s="5" t="inlineStr">
        <is>
          <t>warm, commercial</t>
        </is>
      </c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>
        <is>
          <t>Seeded</t>
        </is>
      </c>
      <c r="S236" s="5" t="inlineStr">
        <is>
          <t>2026-01-29</t>
        </is>
      </c>
      <c r="T236" s="5" t="inlineStr">
        <is>
          <t>https://en.wikipedia.org/w/index.php?search=Jason+Moore</t>
        </is>
      </c>
      <c r="U236" s="5" t="inlineStr">
        <is>
          <t>https://www.imdb.com/find/?q=Jason+Moore&amp;s=nm</t>
        </is>
      </c>
      <c r="AO236" s="19">
        <f>IFERROR(VLOOKUP(AN236,BUDGET_BANDS!$A$2:$C$9,2,FALSE),"")</f>
        <v/>
      </c>
      <c r="AP236" s="19">
        <f>IFERROR(VLOOKUP(AN236,BUDGET_BANDS!$A$2:$C$9,3,FALSE),"")</f>
        <v/>
      </c>
    </row>
    <row r="237">
      <c r="A237" s="5" t="inlineStr">
        <is>
          <t>Jay Roach</t>
        </is>
      </c>
      <c r="B237" s="5" t="inlineStr">
        <is>
          <t>T3</t>
        </is>
      </c>
      <c r="C237" s="5" t="inlineStr">
        <is>
          <t>Established</t>
        </is>
      </c>
      <c r="D237" s="5" t="inlineStr">
        <is>
          <t>US/UK</t>
        </is>
      </c>
      <c r="E237" s="5" t="inlineStr">
        <is>
          <t>Romantic comedy</t>
        </is>
      </c>
      <c r="F237" s="5" t="inlineStr">
        <is>
          <t>Comedy,Drama</t>
        </is>
      </c>
      <c r="G237" s="5" t="inlineStr">
        <is>
          <t>Mid/Studio</t>
        </is>
      </c>
      <c r="H237" s="5" t="inlineStr">
        <is>
          <t>warm, commercial</t>
        </is>
      </c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>
        <is>
          <t>Seeded</t>
        </is>
      </c>
      <c r="S237" s="5" t="inlineStr">
        <is>
          <t>2026-01-29</t>
        </is>
      </c>
      <c r="T237" s="5" t="inlineStr">
        <is>
          <t>https://en.wikipedia.org/w/index.php?search=Jay+Roach</t>
        </is>
      </c>
      <c r="U237" s="5" t="inlineStr">
        <is>
          <t>https://www.imdb.com/find/?q=Jay+Roach&amp;s=nm</t>
        </is>
      </c>
      <c r="AO237" s="19">
        <f>IFERROR(VLOOKUP(AN237,BUDGET_BANDS!$A$2:$C$9,2,FALSE),"")</f>
        <v/>
      </c>
      <c r="AP237" s="19">
        <f>IFERROR(VLOOKUP(AN237,BUDGET_BANDS!$A$2:$C$9,3,FALSE),"")</f>
        <v/>
      </c>
    </row>
    <row r="238">
      <c r="A238" s="5" t="inlineStr">
        <is>
          <t>Jeff Wadlow</t>
        </is>
      </c>
      <c r="B238" s="5" t="inlineStr">
        <is>
          <t>T3</t>
        </is>
      </c>
      <c r="C238" s="5" t="inlineStr">
        <is>
          <t>Established (high output)</t>
        </is>
      </c>
      <c r="D238" s="5" t="inlineStr">
        <is>
          <t>US/Intl</t>
        </is>
      </c>
      <c r="E238" s="5" t="inlineStr">
        <is>
          <t>Horror</t>
        </is>
      </c>
      <c r="F238" s="5" t="inlineStr">
        <is>
          <t>Thriller/Mystery</t>
        </is>
      </c>
      <c r="G238" s="5" t="inlineStr">
        <is>
          <t>Low/Mid</t>
        </is>
      </c>
      <c r="H238" s="5" t="inlineStr">
        <is>
          <t>genre-forward</t>
        </is>
      </c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>
        <is>
          <t>Seeded</t>
        </is>
      </c>
      <c r="S238" s="5" t="inlineStr">
        <is>
          <t>2026-01-29</t>
        </is>
      </c>
      <c r="T238" s="5" t="inlineStr">
        <is>
          <t>https://en.wikipedia.org/w/index.php?search=Jeff+Wadlow</t>
        </is>
      </c>
      <c r="U238" s="5" t="inlineStr">
        <is>
          <t>https://www.imdb.com/find/?q=Jeff+Wadlow&amp;s=nm</t>
        </is>
      </c>
      <c r="AO238" s="19">
        <f>IFERROR(VLOOKUP(AN238,BUDGET_BANDS!$A$2:$C$9,2,FALSE),"")</f>
        <v/>
      </c>
      <c r="AP238" s="19">
        <f>IFERROR(VLOOKUP(AN238,BUDGET_BANDS!$A$2:$C$9,3,FALSE),"")</f>
        <v/>
      </c>
    </row>
    <row r="239">
      <c r="A239" s="5" t="inlineStr">
        <is>
          <t>Jeremy Saulnier</t>
        </is>
      </c>
      <c r="B239" s="5" t="inlineStr">
        <is>
          <t>T3</t>
        </is>
      </c>
      <c r="C239" s="5" t="inlineStr">
        <is>
          <t>Established</t>
        </is>
      </c>
      <c r="D239" s="5" t="inlineStr">
        <is>
          <t>US/Intl</t>
        </is>
      </c>
      <c r="E239" s="5" t="inlineStr">
        <is>
          <t>Thriller/Mystery</t>
        </is>
      </c>
      <c r="F239" s="5" t="inlineStr">
        <is>
          <t>Crime/Heist,Drama</t>
        </is>
      </c>
      <c r="G239" s="5" t="inlineStr">
        <is>
          <t>Low/Mid</t>
        </is>
      </c>
      <c r="H239" s="5" t="inlineStr">
        <is>
          <t>tense, grounded</t>
        </is>
      </c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>
        <is>
          <t>Seeded</t>
        </is>
      </c>
      <c r="S239" s="5" t="inlineStr">
        <is>
          <t>2026-01-29</t>
        </is>
      </c>
      <c r="T239" s="5" t="inlineStr">
        <is>
          <t>https://en.wikipedia.org/w/index.php?search=Jeremy+Saulnier</t>
        </is>
      </c>
      <c r="U239" s="5" t="inlineStr">
        <is>
          <t>https://www.imdb.com/find/?q=Jeremy+Saulnier&amp;s=nm</t>
        </is>
      </c>
      <c r="AO239" s="19">
        <f>IFERROR(VLOOKUP(AN239,BUDGET_BANDS!$A$2:$C$9,2,FALSE),"")</f>
        <v/>
      </c>
      <c r="AP239" s="19">
        <f>IFERROR(VLOOKUP(AN239,BUDGET_BANDS!$A$2:$C$9,3,FALSE),"")</f>
        <v/>
      </c>
    </row>
    <row r="240">
      <c r="A240" s="5" t="inlineStr">
        <is>
          <t>Jesse Peretz</t>
        </is>
      </c>
      <c r="B240" s="5" t="inlineStr">
        <is>
          <t>T3</t>
        </is>
      </c>
      <c r="C240" s="5" t="inlineStr">
        <is>
          <t>Established (high output)</t>
        </is>
      </c>
      <c r="D240" s="5" t="inlineStr">
        <is>
          <t>US/Intl</t>
        </is>
      </c>
      <c r="E240" s="5" t="inlineStr">
        <is>
          <t>Comedy</t>
        </is>
      </c>
      <c r="F240" s="5" t="inlineStr">
        <is>
          <t>Romantic comedy,Action-comedy</t>
        </is>
      </c>
      <c r="G240" s="5" t="inlineStr">
        <is>
          <t>Low/Mid</t>
        </is>
      </c>
      <c r="H240" s="5" t="inlineStr">
        <is>
          <t>broad, commercial</t>
        </is>
      </c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>
        <is>
          <t>Seeded</t>
        </is>
      </c>
      <c r="S240" s="5" t="inlineStr">
        <is>
          <t>2026-01-29</t>
        </is>
      </c>
      <c r="T240" s="5" t="inlineStr">
        <is>
          <t>https://en.wikipedia.org/w/index.php?search=Jesse+Peretz</t>
        </is>
      </c>
      <c r="U240" s="5" t="inlineStr">
        <is>
          <t>https://www.imdb.com/find/?q=Jesse+Peretz&amp;s=nm</t>
        </is>
      </c>
      <c r="AO240" s="19">
        <f>IFERROR(VLOOKUP(AN240,BUDGET_BANDS!$A$2:$C$9,2,FALSE),"")</f>
        <v/>
      </c>
      <c r="AP240" s="19">
        <f>IFERROR(VLOOKUP(AN240,BUDGET_BANDS!$A$2:$C$9,3,FALSE),"")</f>
        <v/>
      </c>
    </row>
    <row r="241">
      <c r="A241" s="5" t="inlineStr">
        <is>
          <t>Jesse V. Johnson</t>
        </is>
      </c>
      <c r="B241" s="5" t="inlineStr">
        <is>
          <t>T3</t>
        </is>
      </c>
      <c r="C241" s="5" t="inlineStr">
        <is>
          <t>Established (high output)</t>
        </is>
      </c>
      <c r="D241" s="5" t="inlineStr">
        <is>
          <t>US/Intl</t>
        </is>
      </c>
      <c r="E241" s="5" t="inlineStr">
        <is>
          <t>Action</t>
        </is>
      </c>
      <c r="F241" s="5" t="inlineStr">
        <is>
          <t>Thriller/Mystery</t>
        </is>
      </c>
      <c r="G241" s="5" t="inlineStr">
        <is>
          <t>Mid/Studio</t>
        </is>
      </c>
      <c r="H241" s="5" t="inlineStr">
        <is>
          <t>efficient, propulsive</t>
        </is>
      </c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>
        <is>
          <t>Seeded</t>
        </is>
      </c>
      <c r="S241" s="5" t="inlineStr">
        <is>
          <t>2026-01-29</t>
        </is>
      </c>
      <c r="T241" s="5" t="inlineStr">
        <is>
          <t>https://en.wikipedia.org/w/index.php?search=Jesse+V.+Johnson</t>
        </is>
      </c>
      <c r="U241" s="5" t="inlineStr">
        <is>
          <t>https://www.imdb.com/find/?q=Jesse+V.+Johnson&amp;s=nm</t>
        </is>
      </c>
      <c r="AO241" s="19">
        <f>IFERROR(VLOOKUP(AN241,BUDGET_BANDS!$A$2:$C$9,2,FALSE),"")</f>
        <v/>
      </c>
      <c r="AP241" s="19">
        <f>IFERROR(VLOOKUP(AN241,BUDGET_BANDS!$A$2:$C$9,3,FALSE),"")</f>
        <v/>
      </c>
    </row>
    <row r="242">
      <c r="A242" s="5" t="inlineStr">
        <is>
          <t>Jim Gillespie</t>
        </is>
      </c>
      <c r="B242" s="5" t="inlineStr">
        <is>
          <t>T3</t>
        </is>
      </c>
      <c r="C242" s="5" t="inlineStr">
        <is>
          <t>Established</t>
        </is>
      </c>
      <c r="D242" s="5" t="inlineStr">
        <is>
          <t>US/Intl</t>
        </is>
      </c>
      <c r="E242" s="5" t="inlineStr">
        <is>
          <t>Horror</t>
        </is>
      </c>
      <c r="F242" s="5" t="inlineStr">
        <is>
          <t>Thriller/Mystery</t>
        </is>
      </c>
      <c r="G242" s="5" t="inlineStr">
        <is>
          <t>Low/Mid</t>
        </is>
      </c>
      <c r="H242" s="5" t="inlineStr">
        <is>
          <t>genre-forward</t>
        </is>
      </c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>
        <is>
          <t>Seeded</t>
        </is>
      </c>
      <c r="S242" s="5" t="inlineStr">
        <is>
          <t>2026-01-29</t>
        </is>
      </c>
      <c r="T242" s="5" t="inlineStr">
        <is>
          <t>https://en.wikipedia.org/w/index.php?search=Jim+Gillespie</t>
        </is>
      </c>
      <c r="U242" s="5" t="inlineStr">
        <is>
          <t>https://www.imdb.com/find/?q=Jim+Gillespie&amp;s=nm</t>
        </is>
      </c>
      <c r="AO242" s="19">
        <f>IFERROR(VLOOKUP(AN242,BUDGET_BANDS!$A$2:$C$9,2,FALSE),"")</f>
        <v/>
      </c>
      <c r="AP242" s="19">
        <f>IFERROR(VLOOKUP(AN242,BUDGET_BANDS!$A$2:$C$9,3,FALSE),"")</f>
        <v/>
      </c>
    </row>
    <row r="243">
      <c r="A243" s="5" t="inlineStr">
        <is>
          <t>Jim Mickle</t>
        </is>
      </c>
      <c r="B243" s="5" t="inlineStr">
        <is>
          <t>T3</t>
        </is>
      </c>
      <c r="C243" s="5" t="inlineStr">
        <is>
          <t>Established</t>
        </is>
      </c>
      <c r="D243" s="5" t="inlineStr">
        <is>
          <t>US/Intl</t>
        </is>
      </c>
      <c r="E243" s="5" t="inlineStr">
        <is>
          <t>Horror</t>
        </is>
      </c>
      <c r="F243" s="5" t="inlineStr">
        <is>
          <t>Thriller/Mystery</t>
        </is>
      </c>
      <c r="G243" s="5" t="inlineStr">
        <is>
          <t>Low/Mid</t>
        </is>
      </c>
      <c r="H243" s="5" t="inlineStr">
        <is>
          <t>genre-forward</t>
        </is>
      </c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>
        <is>
          <t>Seeded</t>
        </is>
      </c>
      <c r="S243" s="5" t="inlineStr">
        <is>
          <t>2026-01-29</t>
        </is>
      </c>
      <c r="T243" s="5" t="inlineStr">
        <is>
          <t>https://en.wikipedia.org/w/index.php?search=Jim+Mickle</t>
        </is>
      </c>
      <c r="U243" s="5" t="inlineStr">
        <is>
          <t>https://www.imdb.com/find/?q=Jim+Mickle&amp;s=nm</t>
        </is>
      </c>
      <c r="AO243" s="19">
        <f>IFERROR(VLOOKUP(AN243,BUDGET_BANDS!$A$2:$C$9,2,FALSE),"")</f>
        <v/>
      </c>
      <c r="AP243" s="19">
        <f>IFERROR(VLOOKUP(AN243,BUDGET_BANDS!$A$2:$C$9,3,FALSE),"")</f>
        <v/>
      </c>
    </row>
    <row r="244">
      <c r="A244" s="5" t="inlineStr">
        <is>
          <t>Joe Wright</t>
        </is>
      </c>
      <c r="B244" s="5" t="inlineStr">
        <is>
          <t>T3</t>
        </is>
      </c>
      <c r="C244" s="5" t="inlineStr">
        <is>
          <t>Established</t>
        </is>
      </c>
      <c r="D244" s="5" t="inlineStr">
        <is>
          <t>US/UK</t>
        </is>
      </c>
      <c r="E244" s="5" t="inlineStr">
        <is>
          <t>Drama</t>
        </is>
      </c>
      <c r="F244" s="5" t="inlineStr">
        <is>
          <t>Biopic,Prestige drama</t>
        </is>
      </c>
      <c r="G244" s="5" t="inlineStr">
        <is>
          <t>Mid</t>
        </is>
      </c>
      <c r="H244" s="5" t="inlineStr">
        <is>
          <t>character-forward</t>
        </is>
      </c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>
        <is>
          <t>Seeded</t>
        </is>
      </c>
      <c r="S244" s="5" t="inlineStr">
        <is>
          <t>2026-01-29</t>
        </is>
      </c>
      <c r="T244" s="5" t="inlineStr">
        <is>
          <t>https://en.wikipedia.org/w/index.php?search=Joe+Wright</t>
        </is>
      </c>
      <c r="U244" s="5" t="inlineStr">
        <is>
          <t>https://www.imdb.com/find/?q=Joe+Wright&amp;s=nm</t>
        </is>
      </c>
      <c r="AO244" s="19">
        <f>IFERROR(VLOOKUP(AN244,BUDGET_BANDS!$A$2:$C$9,2,FALSE),"")</f>
        <v/>
      </c>
      <c r="AP244" s="19">
        <f>IFERROR(VLOOKUP(AN244,BUDGET_BANDS!$A$2:$C$9,3,FALSE),"")</f>
        <v/>
      </c>
    </row>
    <row r="245">
      <c r="A245" s="5" t="inlineStr">
        <is>
          <t>Johannes Roberts</t>
        </is>
      </c>
      <c r="B245" s="5" t="inlineStr">
        <is>
          <t>T3</t>
        </is>
      </c>
      <c r="C245" s="5" t="inlineStr">
        <is>
          <t>Established (high output)</t>
        </is>
      </c>
      <c r="D245" s="5" t="inlineStr">
        <is>
          <t>US/Intl</t>
        </is>
      </c>
      <c r="E245" s="5" t="inlineStr">
        <is>
          <t>Horror</t>
        </is>
      </c>
      <c r="F245" s="5" t="inlineStr">
        <is>
          <t>Thriller/Mystery</t>
        </is>
      </c>
      <c r="G245" s="5" t="inlineStr">
        <is>
          <t>Low/Mid</t>
        </is>
      </c>
      <c r="H245" s="5" t="inlineStr">
        <is>
          <t>genre-forward</t>
        </is>
      </c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>
        <is>
          <t>Seeded</t>
        </is>
      </c>
      <c r="S245" s="5" t="inlineStr">
        <is>
          <t>2026-01-29</t>
        </is>
      </c>
      <c r="T245" s="5" t="inlineStr">
        <is>
          <t>https://en.wikipedia.org/w/index.php?search=Johannes+Roberts</t>
        </is>
      </c>
      <c r="U245" s="5" t="inlineStr">
        <is>
          <t>https://www.imdb.com/find/?q=Johannes+Roberts&amp;s=nm</t>
        </is>
      </c>
      <c r="AO245" s="19">
        <f>IFERROR(VLOOKUP(AN245,BUDGET_BANDS!$A$2:$C$9,2,FALSE),"")</f>
        <v/>
      </c>
      <c r="AP245" s="19">
        <f>IFERROR(VLOOKUP(AN245,BUDGET_BANDS!$A$2:$C$9,3,FALSE),"")</f>
        <v/>
      </c>
    </row>
    <row r="246">
      <c r="A246" s="5" t="inlineStr">
        <is>
          <t>John Carney</t>
        </is>
      </c>
      <c r="B246" s="5" t="inlineStr">
        <is>
          <t>T3</t>
        </is>
      </c>
      <c r="C246" s="5" t="inlineStr">
        <is>
          <t>Established</t>
        </is>
      </c>
      <c r="D246" s="5" t="inlineStr">
        <is>
          <t>US/Intl</t>
        </is>
      </c>
      <c r="E246" s="5" t="inlineStr">
        <is>
          <t>Musical</t>
        </is>
      </c>
      <c r="F246" s="5" t="inlineStr">
        <is>
          <t>Drama,Comedy</t>
        </is>
      </c>
      <c r="G246" s="5" t="inlineStr">
        <is>
          <t>Mid/Studio</t>
        </is>
      </c>
      <c r="H246" s="5" t="inlineStr">
        <is>
          <t>music-driven</t>
        </is>
      </c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>
        <is>
          <t>Seeded</t>
        </is>
      </c>
      <c r="S246" s="5" t="inlineStr">
        <is>
          <t>2026-01-29</t>
        </is>
      </c>
      <c r="T246" s="5" t="inlineStr">
        <is>
          <t>https://en.wikipedia.org/w/index.php?search=John+Carney</t>
        </is>
      </c>
      <c r="U246" s="5" t="inlineStr">
        <is>
          <t>https://www.imdb.com/find/?q=John+Carney&amp;s=nm</t>
        </is>
      </c>
      <c r="AO246" s="19">
        <f>IFERROR(VLOOKUP(AN246,BUDGET_BANDS!$A$2:$C$9,2,FALSE),"")</f>
        <v/>
      </c>
      <c r="AP246" s="19">
        <f>IFERROR(VLOOKUP(AN246,BUDGET_BANDS!$A$2:$C$9,3,FALSE),"")</f>
        <v/>
      </c>
    </row>
    <row r="247">
      <c r="A247" s="5" t="inlineStr">
        <is>
          <t>John Crowley</t>
        </is>
      </c>
      <c r="B247" s="5" t="inlineStr">
        <is>
          <t>T3</t>
        </is>
      </c>
      <c r="C247" s="5" t="inlineStr">
        <is>
          <t>Established</t>
        </is>
      </c>
      <c r="D247" s="5" t="inlineStr">
        <is>
          <t>US/UK</t>
        </is>
      </c>
      <c r="E247" s="5" t="inlineStr">
        <is>
          <t>Drama</t>
        </is>
      </c>
      <c r="F247" s="5" t="inlineStr">
        <is>
          <t>Biopic,Prestige drama</t>
        </is>
      </c>
      <c r="G247" s="5" t="inlineStr">
        <is>
          <t>Mid</t>
        </is>
      </c>
      <c r="H247" s="5" t="inlineStr">
        <is>
          <t>character-forward</t>
        </is>
      </c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>
        <is>
          <t>Seeded</t>
        </is>
      </c>
      <c r="S247" s="5" t="inlineStr">
        <is>
          <t>2026-01-29</t>
        </is>
      </c>
      <c r="T247" s="5" t="inlineStr">
        <is>
          <t>https://en.wikipedia.org/w/index.php?search=John+Crowley</t>
        </is>
      </c>
      <c r="U247" s="5" t="inlineStr">
        <is>
          <t>https://www.imdb.com/find/?q=John+Crowley&amp;s=nm</t>
        </is>
      </c>
      <c r="AO247" s="19">
        <f>IFERROR(VLOOKUP(AN247,BUDGET_BANDS!$A$2:$C$9,2,FALSE),"")</f>
        <v/>
      </c>
      <c r="AP247" s="19">
        <f>IFERROR(VLOOKUP(AN247,BUDGET_BANDS!$A$2:$C$9,3,FALSE),"")</f>
        <v/>
      </c>
    </row>
    <row r="248">
      <c r="A248" s="5" t="inlineStr">
        <is>
          <t>John Hamburg</t>
        </is>
      </c>
      <c r="B248" s="5" t="inlineStr">
        <is>
          <t>T3</t>
        </is>
      </c>
      <c r="C248" s="5" t="inlineStr">
        <is>
          <t>Established (high output)</t>
        </is>
      </c>
      <c r="D248" s="5" t="inlineStr">
        <is>
          <t>US/Intl</t>
        </is>
      </c>
      <c r="E248" s="5" t="inlineStr">
        <is>
          <t>Comedy</t>
        </is>
      </c>
      <c r="F248" s="5" t="inlineStr">
        <is>
          <t>Romantic comedy,Action-comedy</t>
        </is>
      </c>
      <c r="G248" s="5" t="inlineStr">
        <is>
          <t>Low/Mid</t>
        </is>
      </c>
      <c r="H248" s="5" t="inlineStr">
        <is>
          <t>broad, commercial</t>
        </is>
      </c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>
        <is>
          <t>Seeded</t>
        </is>
      </c>
      <c r="S248" s="5" t="inlineStr">
        <is>
          <t>2026-01-29</t>
        </is>
      </c>
      <c r="T248" s="5" t="inlineStr">
        <is>
          <t>https://en.wikipedia.org/w/index.php?search=John+Hamburg</t>
        </is>
      </c>
      <c r="U248" s="5" t="inlineStr">
        <is>
          <t>https://www.imdb.com/find/?q=John+Hamburg&amp;s=nm</t>
        </is>
      </c>
      <c r="AO248" s="19">
        <f>IFERROR(VLOOKUP(AN248,BUDGET_BANDS!$A$2:$C$9,2,FALSE),"")</f>
        <v/>
      </c>
      <c r="AP248" s="19">
        <f>IFERROR(VLOOKUP(AN248,BUDGET_BANDS!$A$2:$C$9,3,FALSE),"")</f>
        <v/>
      </c>
    </row>
    <row r="249">
      <c r="A249" s="5" t="inlineStr">
        <is>
          <t>John Hillcoat</t>
        </is>
      </c>
      <c r="B249" s="5" t="inlineStr">
        <is>
          <t>T3</t>
        </is>
      </c>
      <c r="C249" s="5" t="inlineStr">
        <is>
          <t>Established</t>
        </is>
      </c>
      <c r="D249" s="5" t="inlineStr">
        <is>
          <t>US/Intl</t>
        </is>
      </c>
      <c r="E249" s="5" t="inlineStr">
        <is>
          <t>Thriller/Mystery</t>
        </is>
      </c>
      <c r="F249" s="5" t="inlineStr">
        <is>
          <t>Crime/Heist,Drama</t>
        </is>
      </c>
      <c r="G249" s="5" t="inlineStr">
        <is>
          <t>Low/Mid</t>
        </is>
      </c>
      <c r="H249" s="5" t="inlineStr">
        <is>
          <t>tense, grounded</t>
        </is>
      </c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>
        <is>
          <t>Seeded</t>
        </is>
      </c>
      <c r="S249" s="5" t="inlineStr">
        <is>
          <t>2026-01-29</t>
        </is>
      </c>
      <c r="T249" s="5" t="inlineStr">
        <is>
          <t>https://en.wikipedia.org/w/index.php?search=John+Hillcoat</t>
        </is>
      </c>
      <c r="U249" s="5" t="inlineStr">
        <is>
          <t>https://www.imdb.com/find/?q=John+Hillcoat&amp;s=nm</t>
        </is>
      </c>
      <c r="AO249" s="19">
        <f>IFERROR(VLOOKUP(AN249,BUDGET_BANDS!$A$2:$C$9,2,FALSE),"")</f>
        <v/>
      </c>
      <c r="AP249" s="19">
        <f>IFERROR(VLOOKUP(AN249,BUDGET_BANDS!$A$2:$C$9,3,FALSE),"")</f>
        <v/>
      </c>
    </row>
    <row r="250">
      <c r="A250" s="5" t="inlineStr">
        <is>
          <t>John Krasinski</t>
        </is>
      </c>
      <c r="B250" s="5" t="inlineStr">
        <is>
          <t>T3</t>
        </is>
      </c>
      <c r="C250" s="5" t="inlineStr">
        <is>
          <t>Established</t>
        </is>
      </c>
      <c r="D250" s="5" t="inlineStr">
        <is>
          <t>US/Intl</t>
        </is>
      </c>
      <c r="E250" s="5" t="inlineStr">
        <is>
          <t>Horror</t>
        </is>
      </c>
      <c r="F250" s="5" t="inlineStr">
        <is>
          <t>Thriller/Mystery</t>
        </is>
      </c>
      <c r="G250" s="5" t="inlineStr">
        <is>
          <t>Low/Mid</t>
        </is>
      </c>
      <c r="H250" s="5" t="inlineStr">
        <is>
          <t>genre-forward</t>
        </is>
      </c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>
        <is>
          <t>Seeded</t>
        </is>
      </c>
      <c r="S250" s="5" t="inlineStr">
        <is>
          <t>2026-01-29</t>
        </is>
      </c>
      <c r="T250" s="5" t="inlineStr">
        <is>
          <t>https://en.wikipedia.org/w/index.php?search=John+Krasinski</t>
        </is>
      </c>
      <c r="U250" s="5" t="inlineStr">
        <is>
          <t>https://www.imdb.com/find/?q=John+Krasinski&amp;s=nm</t>
        </is>
      </c>
      <c r="AO250" s="19">
        <f>IFERROR(VLOOKUP(AN250,BUDGET_BANDS!$A$2:$C$9,2,FALSE),"")</f>
        <v/>
      </c>
      <c r="AP250" s="19">
        <f>IFERROR(VLOOKUP(AN250,BUDGET_BANDS!$A$2:$C$9,3,FALSE),"")</f>
        <v/>
      </c>
    </row>
    <row r="251">
      <c r="A251" s="5" t="inlineStr">
        <is>
          <t>John Lee Hancock</t>
        </is>
      </c>
      <c r="B251" s="5" t="inlineStr">
        <is>
          <t>T3</t>
        </is>
      </c>
      <c r="C251" s="5" t="inlineStr">
        <is>
          <t>Established</t>
        </is>
      </c>
      <c r="D251" s="5" t="inlineStr">
        <is>
          <t>US/UK</t>
        </is>
      </c>
      <c r="E251" s="5" t="inlineStr">
        <is>
          <t>Drama</t>
        </is>
      </c>
      <c r="F251" s="5" t="inlineStr">
        <is>
          <t>Biopic,Prestige drama</t>
        </is>
      </c>
      <c r="G251" s="5" t="inlineStr">
        <is>
          <t>Mid</t>
        </is>
      </c>
      <c r="H251" s="5" t="inlineStr">
        <is>
          <t>character-forward</t>
        </is>
      </c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>
        <is>
          <t>Seeded</t>
        </is>
      </c>
      <c r="S251" s="5" t="inlineStr">
        <is>
          <t>2026-01-29</t>
        </is>
      </c>
      <c r="T251" s="5" t="inlineStr">
        <is>
          <t>https://en.wikipedia.org/w/index.php?search=John+Lee+Hancock</t>
        </is>
      </c>
      <c r="U251" s="5" t="inlineStr">
        <is>
          <t>https://www.imdb.com/find/?q=John+Lee+Hancock&amp;s=nm</t>
        </is>
      </c>
      <c r="AO251" s="19">
        <f>IFERROR(VLOOKUP(AN251,BUDGET_BANDS!$A$2:$C$9,2,FALSE),"")</f>
        <v/>
      </c>
      <c r="AP251" s="19">
        <f>IFERROR(VLOOKUP(AN251,BUDGET_BANDS!$A$2:$C$9,3,FALSE),"")</f>
        <v/>
      </c>
    </row>
    <row r="252">
      <c r="A252" s="5" t="inlineStr">
        <is>
          <t>John Madden</t>
        </is>
      </c>
      <c r="B252" s="5" t="inlineStr">
        <is>
          <t>T3</t>
        </is>
      </c>
      <c r="C252" s="5" t="inlineStr">
        <is>
          <t>Established</t>
        </is>
      </c>
      <c r="D252" s="5" t="inlineStr">
        <is>
          <t>US/UK</t>
        </is>
      </c>
      <c r="E252" s="5" t="inlineStr">
        <is>
          <t>Drama</t>
        </is>
      </c>
      <c r="F252" s="5" t="inlineStr">
        <is>
          <t>Biopic,Prestige drama</t>
        </is>
      </c>
      <c r="G252" s="5" t="inlineStr">
        <is>
          <t>Mid</t>
        </is>
      </c>
      <c r="H252" s="5" t="inlineStr">
        <is>
          <t>character-forward</t>
        </is>
      </c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>
        <is>
          <t>Seeded</t>
        </is>
      </c>
      <c r="S252" s="5" t="inlineStr">
        <is>
          <t>2026-01-29</t>
        </is>
      </c>
      <c r="T252" s="5" t="inlineStr">
        <is>
          <t>https://en.wikipedia.org/w/index.php?search=John+Madden</t>
        </is>
      </c>
      <c r="U252" s="5" t="inlineStr">
        <is>
          <t>https://www.imdb.com/find/?q=John+Madden&amp;s=nm</t>
        </is>
      </c>
      <c r="AO252" s="19">
        <f>IFERROR(VLOOKUP(AN252,BUDGET_BANDS!$A$2:$C$9,2,FALSE),"")</f>
        <v/>
      </c>
      <c r="AP252" s="19">
        <f>IFERROR(VLOOKUP(AN252,BUDGET_BANDS!$A$2:$C$9,3,FALSE),"")</f>
        <v/>
      </c>
    </row>
    <row r="253">
      <c r="A253" s="5" t="inlineStr">
        <is>
          <t>John Moore</t>
        </is>
      </c>
      <c r="B253" s="5" t="inlineStr">
        <is>
          <t>T3</t>
        </is>
      </c>
      <c r="C253" s="5" t="inlineStr">
        <is>
          <t>Established (high output)</t>
        </is>
      </c>
      <c r="D253" s="5" t="inlineStr">
        <is>
          <t>US/Intl</t>
        </is>
      </c>
      <c r="E253" s="5" t="inlineStr">
        <is>
          <t>Action</t>
        </is>
      </c>
      <c r="F253" s="5" t="inlineStr">
        <is>
          <t>Thriller/Mystery</t>
        </is>
      </c>
      <c r="G253" s="5" t="inlineStr">
        <is>
          <t>Mid/Studio</t>
        </is>
      </c>
      <c r="H253" s="5" t="inlineStr">
        <is>
          <t>efficient, propulsive</t>
        </is>
      </c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>
        <is>
          <t>Seeded</t>
        </is>
      </c>
      <c r="S253" s="5" t="inlineStr">
        <is>
          <t>2026-01-29</t>
        </is>
      </c>
      <c r="T253" s="5" t="inlineStr">
        <is>
          <t>https://en.wikipedia.org/w/index.php?search=John+Moore</t>
        </is>
      </c>
      <c r="U253" s="5" t="inlineStr">
        <is>
          <t>https://www.imdb.com/find/?q=John+Moore&amp;s=nm</t>
        </is>
      </c>
      <c r="AO253" s="19">
        <f>IFERROR(VLOOKUP(AN253,BUDGET_BANDS!$A$2:$C$9,2,FALSE),"")</f>
        <v/>
      </c>
      <c r="AP253" s="19">
        <f>IFERROR(VLOOKUP(AN253,BUDGET_BANDS!$A$2:$C$9,3,FALSE),"")</f>
        <v/>
      </c>
    </row>
    <row r="254">
      <c r="A254" s="5" t="inlineStr">
        <is>
          <t>Jonathan Levine</t>
        </is>
      </c>
      <c r="B254" s="5" t="inlineStr">
        <is>
          <t>T3</t>
        </is>
      </c>
      <c r="C254" s="5" t="inlineStr">
        <is>
          <t>Established (high output)</t>
        </is>
      </c>
      <c r="D254" s="5" t="inlineStr">
        <is>
          <t>US/Intl</t>
        </is>
      </c>
      <c r="E254" s="5" t="inlineStr">
        <is>
          <t>Comedy</t>
        </is>
      </c>
      <c r="F254" s="5" t="inlineStr">
        <is>
          <t>Romantic comedy,Action-comedy</t>
        </is>
      </c>
      <c r="G254" s="5" t="inlineStr">
        <is>
          <t>Low/Mid</t>
        </is>
      </c>
      <c r="H254" s="5" t="inlineStr">
        <is>
          <t>broad, commercial</t>
        </is>
      </c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>
        <is>
          <t>Seeded</t>
        </is>
      </c>
      <c r="S254" s="5" t="inlineStr">
        <is>
          <t>2026-01-29</t>
        </is>
      </c>
      <c r="T254" s="5" t="inlineStr">
        <is>
          <t>https://en.wikipedia.org/w/index.php?search=Jonathan+Levine</t>
        </is>
      </c>
      <c r="U254" s="5" t="inlineStr">
        <is>
          <t>https://www.imdb.com/find/?q=Jonathan+Levine&amp;s=nm</t>
        </is>
      </c>
      <c r="AO254" s="19">
        <f>IFERROR(VLOOKUP(AN254,BUDGET_BANDS!$A$2:$C$9,2,FALSE),"")</f>
        <v/>
      </c>
      <c r="AP254" s="19">
        <f>IFERROR(VLOOKUP(AN254,BUDGET_BANDS!$A$2:$C$9,3,FALSE),"")</f>
        <v/>
      </c>
    </row>
    <row r="255">
      <c r="A255" s="5" t="inlineStr">
        <is>
          <t>Jonathan Mostow</t>
        </is>
      </c>
      <c r="B255" s="5" t="inlineStr">
        <is>
          <t>T3</t>
        </is>
      </c>
      <c r="C255" s="5" t="inlineStr">
        <is>
          <t>Established (high output)</t>
        </is>
      </c>
      <c r="D255" s="5" t="inlineStr">
        <is>
          <t>US/Intl</t>
        </is>
      </c>
      <c r="E255" s="5" t="inlineStr">
        <is>
          <t>Action</t>
        </is>
      </c>
      <c r="F255" s="5" t="inlineStr">
        <is>
          <t>Thriller/Mystery</t>
        </is>
      </c>
      <c r="G255" s="5" t="inlineStr">
        <is>
          <t>Mid/Studio</t>
        </is>
      </c>
      <c r="H255" s="5" t="inlineStr">
        <is>
          <t>efficient, propulsive</t>
        </is>
      </c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>
        <is>
          <t>Seeded</t>
        </is>
      </c>
      <c r="S255" s="5" t="inlineStr">
        <is>
          <t>2026-01-29</t>
        </is>
      </c>
      <c r="T255" s="5" t="inlineStr">
        <is>
          <t>https://en.wikipedia.org/w/index.php?search=Jonathan+Mostow</t>
        </is>
      </c>
      <c r="U255" s="5" t="inlineStr">
        <is>
          <t>https://www.imdb.com/find/?q=Jonathan+Mostow&amp;s=nm</t>
        </is>
      </c>
      <c r="AO255" s="19">
        <f>IFERROR(VLOOKUP(AN255,BUDGET_BANDS!$A$2:$C$9,2,FALSE),"")</f>
        <v/>
      </c>
      <c r="AP255" s="19">
        <f>IFERROR(VLOOKUP(AN255,BUDGET_BANDS!$A$2:$C$9,3,FALSE),"")</f>
        <v/>
      </c>
    </row>
    <row r="256">
      <c r="A256" s="5" t="inlineStr">
        <is>
          <t>Julius Avery</t>
        </is>
      </c>
      <c r="B256" s="5" t="inlineStr">
        <is>
          <t>T3</t>
        </is>
      </c>
      <c r="C256" s="5" t="inlineStr">
        <is>
          <t>Established (high output)</t>
        </is>
      </c>
      <c r="D256" s="5" t="inlineStr">
        <is>
          <t>US/Intl</t>
        </is>
      </c>
      <c r="E256" s="5" t="inlineStr">
        <is>
          <t>Action</t>
        </is>
      </c>
      <c r="F256" s="5" t="inlineStr">
        <is>
          <t>Thriller/Mystery</t>
        </is>
      </c>
      <c r="G256" s="5" t="inlineStr">
        <is>
          <t>Mid/Studio</t>
        </is>
      </c>
      <c r="H256" s="5" t="inlineStr">
        <is>
          <t>efficient, propulsive</t>
        </is>
      </c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>
        <is>
          <t>Seeded</t>
        </is>
      </c>
      <c r="S256" s="5" t="inlineStr">
        <is>
          <t>2026-01-29</t>
        </is>
      </c>
      <c r="T256" s="5" t="inlineStr">
        <is>
          <t>https://en.wikipedia.org/w/index.php?search=Julius+Avery</t>
        </is>
      </c>
      <c r="U256" s="5" t="inlineStr">
        <is>
          <t>https://www.imdb.com/find/?q=Julius+Avery&amp;s=nm</t>
        </is>
      </c>
      <c r="AO256" s="19">
        <f>IFERROR(VLOOKUP(AN256,BUDGET_BANDS!$A$2:$C$9,2,FALSE),"")</f>
        <v/>
      </c>
      <c r="AP256" s="19">
        <f>IFERROR(VLOOKUP(AN256,BUDGET_BANDS!$A$2:$C$9,3,FALSE),"")</f>
        <v/>
      </c>
    </row>
    <row r="257">
      <c r="A257" s="5" t="inlineStr">
        <is>
          <t>Kay Cannon</t>
        </is>
      </c>
      <c r="B257" s="5" t="inlineStr">
        <is>
          <t>T3</t>
        </is>
      </c>
      <c r="C257" s="5" t="inlineStr">
        <is>
          <t>Established (high output)</t>
        </is>
      </c>
      <c r="D257" s="5" t="inlineStr">
        <is>
          <t>US/Intl</t>
        </is>
      </c>
      <c r="E257" s="5" t="inlineStr">
        <is>
          <t>Comedy</t>
        </is>
      </c>
      <c r="F257" s="5" t="inlineStr">
        <is>
          <t>Romantic comedy,Action-comedy</t>
        </is>
      </c>
      <c r="G257" s="5" t="inlineStr">
        <is>
          <t>Low/Mid</t>
        </is>
      </c>
      <c r="H257" s="5" t="inlineStr">
        <is>
          <t>broad, commercial</t>
        </is>
      </c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>
        <is>
          <t>Seeded</t>
        </is>
      </c>
      <c r="S257" s="5" t="inlineStr">
        <is>
          <t>2026-01-29</t>
        </is>
      </c>
      <c r="T257" s="5" t="inlineStr">
        <is>
          <t>https://en.wikipedia.org/w/index.php?search=Kay+Cannon</t>
        </is>
      </c>
      <c r="U257" s="5" t="inlineStr">
        <is>
          <t>https://www.imdb.com/find/?q=Kay+Cannon&amp;s=nm</t>
        </is>
      </c>
      <c r="AO257" s="19">
        <f>IFERROR(VLOOKUP(AN257,BUDGET_BANDS!$A$2:$C$9,2,FALSE),"")</f>
        <v/>
      </c>
      <c r="AP257" s="19">
        <f>IFERROR(VLOOKUP(AN257,BUDGET_BANDS!$A$2:$C$9,3,FALSE),"")</f>
        <v/>
      </c>
    </row>
    <row r="258">
      <c r="A258" s="5" t="inlineStr">
        <is>
          <t>Ken Kwapis</t>
        </is>
      </c>
      <c r="B258" s="5" t="inlineStr">
        <is>
          <t>T3</t>
        </is>
      </c>
      <c r="C258" s="5" t="inlineStr">
        <is>
          <t>Established (high output)</t>
        </is>
      </c>
      <c r="D258" s="5" t="inlineStr">
        <is>
          <t>US/Intl</t>
        </is>
      </c>
      <c r="E258" s="5" t="inlineStr">
        <is>
          <t>Comedy</t>
        </is>
      </c>
      <c r="F258" s="5" t="inlineStr">
        <is>
          <t>Romantic comedy,Action-comedy</t>
        </is>
      </c>
      <c r="G258" s="5" t="inlineStr">
        <is>
          <t>Low/Mid</t>
        </is>
      </c>
      <c r="H258" s="5" t="inlineStr">
        <is>
          <t>broad, commercial</t>
        </is>
      </c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>
        <is>
          <t>Seeded</t>
        </is>
      </c>
      <c r="S258" s="5" t="inlineStr">
        <is>
          <t>2026-01-29</t>
        </is>
      </c>
      <c r="T258" s="5" t="inlineStr">
        <is>
          <t>https://en.wikipedia.org/w/index.php?search=Ken+Kwapis</t>
        </is>
      </c>
      <c r="U258" s="5" t="inlineStr">
        <is>
          <t>https://www.imdb.com/find/?q=Ken+Kwapis&amp;s=nm</t>
        </is>
      </c>
      <c r="AO258" s="19">
        <f>IFERROR(VLOOKUP(AN258,BUDGET_BANDS!$A$2:$C$9,2,FALSE),"")</f>
        <v/>
      </c>
      <c r="AP258" s="19">
        <f>IFERROR(VLOOKUP(AN258,BUDGET_BANDS!$A$2:$C$9,3,FALSE),"")</f>
        <v/>
      </c>
    </row>
    <row r="259">
      <c r="A259" s="5" t="inlineStr">
        <is>
          <t>Kenneth Branagh</t>
        </is>
      </c>
      <c r="B259" s="5" t="inlineStr">
        <is>
          <t>T3</t>
        </is>
      </c>
      <c r="C259" s="5" t="inlineStr">
        <is>
          <t>Established</t>
        </is>
      </c>
      <c r="D259" s="5" t="inlineStr">
        <is>
          <t>US/UK</t>
        </is>
      </c>
      <c r="E259" s="5" t="inlineStr">
        <is>
          <t>Drama</t>
        </is>
      </c>
      <c r="F259" s="5" t="inlineStr">
        <is>
          <t>Biopic,Prestige drama</t>
        </is>
      </c>
      <c r="G259" s="5" t="inlineStr">
        <is>
          <t>Mid</t>
        </is>
      </c>
      <c r="H259" s="5" t="inlineStr">
        <is>
          <t>character-forward</t>
        </is>
      </c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>
        <is>
          <t>Seeded</t>
        </is>
      </c>
      <c r="S259" s="5" t="inlineStr">
        <is>
          <t>2026-01-29</t>
        </is>
      </c>
      <c r="T259" s="5" t="inlineStr">
        <is>
          <t>https://en.wikipedia.org/w/index.php?search=Kenneth+Branagh</t>
        </is>
      </c>
      <c r="U259" s="5" t="inlineStr">
        <is>
          <t>https://www.imdb.com/find/?q=Kenneth+Branagh&amp;s=nm</t>
        </is>
      </c>
      <c r="AO259" s="19">
        <f>IFERROR(VLOOKUP(AN259,BUDGET_BANDS!$A$2:$C$9,2,FALSE),"")</f>
        <v/>
      </c>
      <c r="AP259" s="19">
        <f>IFERROR(VLOOKUP(AN259,BUDGET_BANDS!$A$2:$C$9,3,FALSE),"")</f>
        <v/>
      </c>
    </row>
    <row r="260">
      <c r="A260" s="5" t="inlineStr">
        <is>
          <t>Kevin Macdonald</t>
        </is>
      </c>
      <c r="B260" s="5" t="inlineStr">
        <is>
          <t>T3</t>
        </is>
      </c>
      <c r="C260" s="5" t="inlineStr">
        <is>
          <t>Established (high output)</t>
        </is>
      </c>
      <c r="D260" s="5" t="inlineStr">
        <is>
          <t>US/Intl</t>
        </is>
      </c>
      <c r="E260" s="5" t="inlineStr">
        <is>
          <t>Action</t>
        </is>
      </c>
      <c r="F260" s="5" t="inlineStr">
        <is>
          <t>Thriller/Mystery</t>
        </is>
      </c>
      <c r="G260" s="5" t="inlineStr">
        <is>
          <t>Mid/Studio</t>
        </is>
      </c>
      <c r="H260" s="5" t="inlineStr">
        <is>
          <t>efficient, propulsive</t>
        </is>
      </c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>
        <is>
          <t>Seeded</t>
        </is>
      </c>
      <c r="S260" s="5" t="inlineStr">
        <is>
          <t>2026-01-29</t>
        </is>
      </c>
      <c r="T260" s="5" t="inlineStr">
        <is>
          <t>https://en.wikipedia.org/w/index.php?search=Kevin+Macdonald</t>
        </is>
      </c>
      <c r="U260" s="5" t="inlineStr">
        <is>
          <t>https://www.imdb.com/find/?q=Kevin+Macdonald&amp;s=nm</t>
        </is>
      </c>
      <c r="AO260" s="19">
        <f>IFERROR(VLOOKUP(AN260,BUDGET_BANDS!$A$2:$C$9,2,FALSE),"")</f>
        <v/>
      </c>
      <c r="AP260" s="19">
        <f>IFERROR(VLOOKUP(AN260,BUDGET_BANDS!$A$2:$C$9,3,FALSE),"")</f>
        <v/>
      </c>
    </row>
    <row r="261">
      <c r="A261" s="5" t="inlineStr">
        <is>
          <t>Kevin Smith</t>
        </is>
      </c>
      <c r="B261" s="5" t="inlineStr">
        <is>
          <t>T3</t>
        </is>
      </c>
      <c r="C261" s="5" t="inlineStr">
        <is>
          <t>Established</t>
        </is>
      </c>
      <c r="D261" s="5" t="inlineStr">
        <is>
          <t>US/UK</t>
        </is>
      </c>
      <c r="E261" s="5" t="inlineStr">
        <is>
          <t>Romantic comedy</t>
        </is>
      </c>
      <c r="F261" s="5" t="inlineStr">
        <is>
          <t>Comedy,Drama</t>
        </is>
      </c>
      <c r="G261" s="5" t="inlineStr">
        <is>
          <t>Mid/Studio</t>
        </is>
      </c>
      <c r="H261" s="5" t="inlineStr">
        <is>
          <t>warm, commercial</t>
        </is>
      </c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>
        <is>
          <t>Seeded</t>
        </is>
      </c>
      <c r="S261" s="5" t="inlineStr">
        <is>
          <t>2026-01-29</t>
        </is>
      </c>
      <c r="T261" s="5" t="inlineStr">
        <is>
          <t>https://en.wikipedia.org/w/index.php?search=Kevin+Smith</t>
        </is>
      </c>
      <c r="U261" s="5" t="inlineStr">
        <is>
          <t>https://www.imdb.com/find/?q=Kevin+Smith&amp;s=nm</t>
        </is>
      </c>
      <c r="AO261" s="19">
        <f>IFERROR(VLOOKUP(AN261,BUDGET_BANDS!$A$2:$C$9,2,FALSE),"")</f>
        <v/>
      </c>
      <c r="AP261" s="19">
        <f>IFERROR(VLOOKUP(AN261,BUDGET_BANDS!$A$2:$C$9,3,FALSE),"")</f>
        <v/>
      </c>
    </row>
    <row r="262">
      <c r="A262" s="5" t="inlineStr">
        <is>
          <t>Lee Cronin</t>
        </is>
      </c>
      <c r="B262" s="5" t="inlineStr">
        <is>
          <t>T3</t>
        </is>
      </c>
      <c r="C262" s="5" t="inlineStr">
        <is>
          <t>Established (high output)</t>
        </is>
      </c>
      <c r="D262" s="5" t="inlineStr">
        <is>
          <t>US/Intl</t>
        </is>
      </c>
      <c r="E262" s="5" t="inlineStr">
        <is>
          <t>Horror</t>
        </is>
      </c>
      <c r="F262" s="5" t="inlineStr">
        <is>
          <t>Thriller/Mystery</t>
        </is>
      </c>
      <c r="G262" s="5" t="inlineStr">
        <is>
          <t>Low/Mid</t>
        </is>
      </c>
      <c r="H262" s="5" t="inlineStr">
        <is>
          <t>genre-forward</t>
        </is>
      </c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>
        <is>
          <t>Seeded</t>
        </is>
      </c>
      <c r="S262" s="5" t="inlineStr">
        <is>
          <t>2026-01-29</t>
        </is>
      </c>
      <c r="T262" s="5" t="inlineStr">
        <is>
          <t>https://en.wikipedia.org/w/index.php?search=Lee+Cronin</t>
        </is>
      </c>
      <c r="U262" s="5" t="inlineStr">
        <is>
          <t>https://www.imdb.com/find/?q=Lee+Cronin&amp;s=nm</t>
        </is>
      </c>
      <c r="AO262" s="19">
        <f>IFERROR(VLOOKUP(AN262,BUDGET_BANDS!$A$2:$C$9,2,FALSE),"")</f>
        <v/>
      </c>
      <c r="AP262" s="19">
        <f>IFERROR(VLOOKUP(AN262,BUDGET_BANDS!$A$2:$C$9,3,FALSE),"")</f>
        <v/>
      </c>
    </row>
    <row r="263">
      <c r="A263" s="5" t="inlineStr">
        <is>
          <t>Leigh Janiak</t>
        </is>
      </c>
      <c r="B263" s="5" t="inlineStr">
        <is>
          <t>T3</t>
        </is>
      </c>
      <c r="C263" s="5" t="inlineStr">
        <is>
          <t>Established</t>
        </is>
      </c>
      <c r="D263" s="5" t="inlineStr">
        <is>
          <t>US/Intl</t>
        </is>
      </c>
      <c r="E263" s="5" t="inlineStr">
        <is>
          <t>Horror</t>
        </is>
      </c>
      <c r="F263" s="5" t="inlineStr">
        <is>
          <t>Thriller/Mystery</t>
        </is>
      </c>
      <c r="G263" s="5" t="inlineStr">
        <is>
          <t>Low/Mid</t>
        </is>
      </c>
      <c r="H263" s="5" t="inlineStr">
        <is>
          <t>genre-forward</t>
        </is>
      </c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>
        <is>
          <t>Seeded</t>
        </is>
      </c>
      <c r="S263" s="5" t="inlineStr">
        <is>
          <t>2026-01-29</t>
        </is>
      </c>
      <c r="T263" s="5" t="inlineStr">
        <is>
          <t>https://en.wikipedia.org/w/index.php?search=Leigh+Janiak</t>
        </is>
      </c>
      <c r="U263" s="5" t="inlineStr">
        <is>
          <t>https://www.imdb.com/find/?q=Leigh+Janiak&amp;s=nm</t>
        </is>
      </c>
      <c r="AO263" s="19">
        <f>IFERROR(VLOOKUP(AN263,BUDGET_BANDS!$A$2:$C$9,2,FALSE),"")</f>
        <v/>
      </c>
      <c r="AP263" s="19">
        <f>IFERROR(VLOOKUP(AN263,BUDGET_BANDS!$A$2:$C$9,3,FALSE),"")</f>
        <v/>
      </c>
    </row>
    <row r="264">
      <c r="A264" s="5" t="inlineStr">
        <is>
          <t>Len Wiseman</t>
        </is>
      </c>
      <c r="B264" s="5" t="inlineStr">
        <is>
          <t>T3</t>
        </is>
      </c>
      <c r="C264" s="5" t="inlineStr">
        <is>
          <t>Established (high output)</t>
        </is>
      </c>
      <c r="D264" s="5" t="inlineStr">
        <is>
          <t>US/Intl</t>
        </is>
      </c>
      <c r="E264" s="5" t="inlineStr">
        <is>
          <t>Action</t>
        </is>
      </c>
      <c r="F264" s="5" t="inlineStr">
        <is>
          <t>Thriller/Mystery</t>
        </is>
      </c>
      <c r="G264" s="5" t="inlineStr">
        <is>
          <t>Mid/Studio</t>
        </is>
      </c>
      <c r="H264" s="5" t="inlineStr">
        <is>
          <t>efficient, propulsive</t>
        </is>
      </c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>
        <is>
          <t>Seeded</t>
        </is>
      </c>
      <c r="S264" s="5" t="inlineStr">
        <is>
          <t>2026-01-29</t>
        </is>
      </c>
      <c r="T264" s="5" t="inlineStr">
        <is>
          <t>https://en.wikipedia.org/w/index.php?search=Len+Wiseman</t>
        </is>
      </c>
      <c r="U264" s="5" t="inlineStr">
        <is>
          <t>https://www.imdb.com/find/?q=Len+Wiseman&amp;s=nm</t>
        </is>
      </c>
      <c r="AO264" s="19">
        <f>IFERROR(VLOOKUP(AN264,BUDGET_BANDS!$A$2:$C$9,2,FALSE),"")</f>
        <v/>
      </c>
      <c r="AP264" s="19">
        <f>IFERROR(VLOOKUP(AN264,BUDGET_BANDS!$A$2:$C$9,3,FALSE),"")</f>
        <v/>
      </c>
    </row>
    <row r="265">
      <c r="A265" s="5" t="inlineStr">
        <is>
          <t>Lexi Alexander</t>
        </is>
      </c>
      <c r="B265" s="5" t="inlineStr">
        <is>
          <t>T3</t>
        </is>
      </c>
      <c r="C265" s="5" t="inlineStr">
        <is>
          <t>Established (high output)</t>
        </is>
      </c>
      <c r="D265" s="5" t="inlineStr">
        <is>
          <t>US/Intl</t>
        </is>
      </c>
      <c r="E265" s="5" t="inlineStr">
        <is>
          <t>Action</t>
        </is>
      </c>
      <c r="F265" s="5" t="inlineStr">
        <is>
          <t>Thriller/Mystery</t>
        </is>
      </c>
      <c r="G265" s="5" t="inlineStr">
        <is>
          <t>Mid/Studio</t>
        </is>
      </c>
      <c r="H265" s="5" t="inlineStr">
        <is>
          <t>efficient, propulsive</t>
        </is>
      </c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>
        <is>
          <t>Seeded</t>
        </is>
      </c>
      <c r="S265" s="5" t="inlineStr">
        <is>
          <t>2026-01-29</t>
        </is>
      </c>
      <c r="T265" s="5" t="inlineStr">
        <is>
          <t>https://en.wikipedia.org/w/index.php?search=Lexi+Alexander</t>
        </is>
      </c>
      <c r="U265" s="5" t="inlineStr">
        <is>
          <t>https://www.imdb.com/find/?q=Lexi+Alexander&amp;s=nm</t>
        </is>
      </c>
      <c r="AO265" s="19">
        <f>IFERROR(VLOOKUP(AN265,BUDGET_BANDS!$A$2:$C$9,2,FALSE),"")</f>
        <v/>
      </c>
      <c r="AP265" s="19">
        <f>IFERROR(VLOOKUP(AN265,BUDGET_BANDS!$A$2:$C$9,3,FALSE),"")</f>
        <v/>
      </c>
    </row>
    <row r="266">
      <c r="A266" s="5" t="inlineStr">
        <is>
          <t>Malcolm D. Lee</t>
        </is>
      </c>
      <c r="B266" s="5" t="inlineStr">
        <is>
          <t>T3</t>
        </is>
      </c>
      <c r="C266" s="5" t="inlineStr">
        <is>
          <t>Established (high output)</t>
        </is>
      </c>
      <c r="D266" s="5" t="inlineStr">
        <is>
          <t>US/Intl</t>
        </is>
      </c>
      <c r="E266" s="5" t="inlineStr">
        <is>
          <t>Comedy</t>
        </is>
      </c>
      <c r="F266" s="5" t="inlineStr">
        <is>
          <t>Romantic comedy,Action-comedy</t>
        </is>
      </c>
      <c r="G266" s="5" t="inlineStr">
        <is>
          <t>Low/Mid</t>
        </is>
      </c>
      <c r="H266" s="5" t="inlineStr">
        <is>
          <t>broad, commercial</t>
        </is>
      </c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>
        <is>
          <t>Seeded</t>
        </is>
      </c>
      <c r="S266" s="5" t="inlineStr">
        <is>
          <t>2026-01-29</t>
        </is>
      </c>
      <c r="T266" s="5" t="inlineStr">
        <is>
          <t>https://en.wikipedia.org/w/index.php?search=Malcolm+D.+Lee</t>
        </is>
      </c>
      <c r="U266" s="5" t="inlineStr">
        <is>
          <t>https://www.imdb.com/find/?q=Malcolm+D.+Lee&amp;s=nm</t>
        </is>
      </c>
      <c r="AO266" s="19">
        <f>IFERROR(VLOOKUP(AN266,BUDGET_BANDS!$A$2:$C$9,2,FALSE),"")</f>
        <v/>
      </c>
      <c r="AP266" s="19">
        <f>IFERROR(VLOOKUP(AN266,BUDGET_BANDS!$A$2:$C$9,3,FALSE),"")</f>
        <v/>
      </c>
    </row>
    <row r="267">
      <c r="A267" s="5" t="inlineStr">
        <is>
          <t>Marcus Nispel</t>
        </is>
      </c>
      <c r="B267" s="5" t="inlineStr">
        <is>
          <t>T3</t>
        </is>
      </c>
      <c r="C267" s="5" t="inlineStr">
        <is>
          <t>Established (high output)</t>
        </is>
      </c>
      <c r="D267" s="5" t="inlineStr">
        <is>
          <t>US/Intl</t>
        </is>
      </c>
      <c r="E267" s="5" t="inlineStr">
        <is>
          <t>Horror</t>
        </is>
      </c>
      <c r="F267" s="5" t="inlineStr">
        <is>
          <t>Thriller/Mystery</t>
        </is>
      </c>
      <c r="G267" s="5" t="inlineStr">
        <is>
          <t>Low/Mid</t>
        </is>
      </c>
      <c r="H267" s="5" t="inlineStr">
        <is>
          <t>genre-forward</t>
        </is>
      </c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>
        <is>
          <t>Seeded</t>
        </is>
      </c>
      <c r="S267" s="5" t="inlineStr">
        <is>
          <t>2026-01-29</t>
        </is>
      </c>
      <c r="T267" s="5" t="inlineStr">
        <is>
          <t>https://en.wikipedia.org/w/index.php?search=Marcus+Nispel</t>
        </is>
      </c>
      <c r="U267" s="5" t="inlineStr">
        <is>
          <t>https://www.imdb.com/find/?q=Marcus+Nispel&amp;s=nm</t>
        </is>
      </c>
      <c r="AO267" s="19">
        <f>IFERROR(VLOOKUP(AN267,BUDGET_BANDS!$A$2:$C$9,2,FALSE),"")</f>
        <v/>
      </c>
      <c r="AP267" s="19">
        <f>IFERROR(VLOOKUP(AN267,BUDGET_BANDS!$A$2:$C$9,3,FALSE),"")</f>
        <v/>
      </c>
    </row>
    <row r="268">
      <c r="A268" s="5" t="inlineStr">
        <is>
          <t>Mark Waters</t>
        </is>
      </c>
      <c r="B268" s="5" t="inlineStr">
        <is>
          <t>T3</t>
        </is>
      </c>
      <c r="C268" s="5" t="inlineStr">
        <is>
          <t>Established (high output)</t>
        </is>
      </c>
      <c r="D268" s="5" t="inlineStr">
        <is>
          <t>US/Intl</t>
        </is>
      </c>
      <c r="E268" s="5" t="inlineStr">
        <is>
          <t>Comedy</t>
        </is>
      </c>
      <c r="F268" s="5" t="inlineStr">
        <is>
          <t>Romantic comedy,Action-comedy</t>
        </is>
      </c>
      <c r="G268" s="5" t="inlineStr">
        <is>
          <t>Low/Mid</t>
        </is>
      </c>
      <c r="H268" s="5" t="inlineStr">
        <is>
          <t>broad, commercial</t>
        </is>
      </c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>
        <is>
          <t>Seeded</t>
        </is>
      </c>
      <c r="S268" s="5" t="inlineStr">
        <is>
          <t>2026-01-29</t>
        </is>
      </c>
      <c r="T268" s="5" t="inlineStr">
        <is>
          <t>https://en.wikipedia.org/w/index.php?search=Mark+Waters</t>
        </is>
      </c>
      <c r="U268" s="5" t="inlineStr">
        <is>
          <t>https://www.imdb.com/find/?q=Mark+Waters&amp;s=nm</t>
        </is>
      </c>
      <c r="AO268" s="19">
        <f>IFERROR(VLOOKUP(AN268,BUDGET_BANDS!$A$2:$C$9,2,FALSE),"")</f>
        <v/>
      </c>
      <c r="AP268" s="19">
        <f>IFERROR(VLOOKUP(AN268,BUDGET_BANDS!$A$2:$C$9,3,FALSE),"")</f>
        <v/>
      </c>
    </row>
    <row r="269">
      <c r="A269" s="5" t="inlineStr">
        <is>
          <t>McG</t>
        </is>
      </c>
      <c r="B269" s="5" t="inlineStr">
        <is>
          <t>T3</t>
        </is>
      </c>
      <c r="C269" s="5" t="inlineStr">
        <is>
          <t>Established (high output)</t>
        </is>
      </c>
      <c r="D269" s="5" t="inlineStr">
        <is>
          <t>US/Intl</t>
        </is>
      </c>
      <c r="E269" s="5" t="inlineStr">
        <is>
          <t>Action</t>
        </is>
      </c>
      <c r="F269" s="5" t="inlineStr">
        <is>
          <t>Thriller/Mystery</t>
        </is>
      </c>
      <c r="G269" s="5" t="inlineStr">
        <is>
          <t>Mid/Studio</t>
        </is>
      </c>
      <c r="H269" s="5" t="inlineStr">
        <is>
          <t>efficient, propulsive</t>
        </is>
      </c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>
        <is>
          <t>Seeded</t>
        </is>
      </c>
      <c r="S269" s="5" t="inlineStr">
        <is>
          <t>2026-01-29</t>
        </is>
      </c>
      <c r="T269" s="5" t="inlineStr">
        <is>
          <t>https://en.wikipedia.org/w/index.php?search=McG</t>
        </is>
      </c>
      <c r="U269" s="5" t="inlineStr">
        <is>
          <t>https://www.imdb.com/find/?q=McG&amp;s=nm</t>
        </is>
      </c>
      <c r="AO269" s="19">
        <f>IFERROR(VLOOKUP(AN269,BUDGET_BANDS!$A$2:$C$9,2,FALSE),"")</f>
        <v/>
      </c>
      <c r="AP269" s="19">
        <f>IFERROR(VLOOKUP(AN269,BUDGET_BANDS!$A$2:$C$9,3,FALSE),"")</f>
        <v/>
      </c>
    </row>
    <row r="270">
      <c r="A270" s="5" t="inlineStr">
        <is>
          <t>Michael Dowse</t>
        </is>
      </c>
      <c r="B270" s="5" t="inlineStr">
        <is>
          <t>T3</t>
        </is>
      </c>
      <c r="C270" s="5" t="inlineStr">
        <is>
          <t>Established (high output)</t>
        </is>
      </c>
      <c r="D270" s="5" t="inlineStr">
        <is>
          <t>US/Intl</t>
        </is>
      </c>
      <c r="E270" s="5" t="inlineStr">
        <is>
          <t>Comedy</t>
        </is>
      </c>
      <c r="F270" s="5" t="inlineStr">
        <is>
          <t>Romantic comedy,Action-comedy</t>
        </is>
      </c>
      <c r="G270" s="5" t="inlineStr">
        <is>
          <t>Low/Mid</t>
        </is>
      </c>
      <c r="H270" s="5" t="inlineStr">
        <is>
          <t>broad, commercial</t>
        </is>
      </c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>
        <is>
          <t>Seeded</t>
        </is>
      </c>
      <c r="S270" s="5" t="inlineStr">
        <is>
          <t>2026-01-29</t>
        </is>
      </c>
      <c r="T270" s="5" t="inlineStr">
        <is>
          <t>https://en.wikipedia.org/w/index.php?search=Michael+Dowse</t>
        </is>
      </c>
      <c r="U270" s="5" t="inlineStr">
        <is>
          <t>https://www.imdb.com/find/?q=Michael+Dowse&amp;s=nm</t>
        </is>
      </c>
      <c r="AO270" s="19">
        <f>IFERROR(VLOOKUP(AN270,BUDGET_BANDS!$A$2:$C$9,2,FALSE),"")</f>
        <v/>
      </c>
      <c r="AP270" s="19">
        <f>IFERROR(VLOOKUP(AN270,BUDGET_BANDS!$A$2:$C$9,3,FALSE),"")</f>
        <v/>
      </c>
    </row>
    <row r="271">
      <c r="A271" s="5" t="inlineStr">
        <is>
          <t>Michael Gracey</t>
        </is>
      </c>
      <c r="B271" s="5" t="inlineStr">
        <is>
          <t>T3</t>
        </is>
      </c>
      <c r="C271" s="5" t="inlineStr">
        <is>
          <t>Established</t>
        </is>
      </c>
      <c r="D271" s="5" t="inlineStr">
        <is>
          <t>US/Intl</t>
        </is>
      </c>
      <c r="E271" s="5" t="inlineStr">
        <is>
          <t>Musical</t>
        </is>
      </c>
      <c r="F271" s="5" t="inlineStr">
        <is>
          <t>Drama,Comedy</t>
        </is>
      </c>
      <c r="G271" s="5" t="inlineStr">
        <is>
          <t>Mid/Studio</t>
        </is>
      </c>
      <c r="H271" s="5" t="inlineStr">
        <is>
          <t>music-driven</t>
        </is>
      </c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>
        <is>
          <t>Seeded</t>
        </is>
      </c>
      <c r="S271" s="5" t="inlineStr">
        <is>
          <t>2026-01-29</t>
        </is>
      </c>
      <c r="T271" s="5" t="inlineStr">
        <is>
          <t>https://en.wikipedia.org/w/index.php?search=Michael+Gracey</t>
        </is>
      </c>
      <c r="U271" s="5" t="inlineStr">
        <is>
          <t>https://www.imdb.com/find/?q=Michael+Gracey&amp;s=nm</t>
        </is>
      </c>
      <c r="AO271" s="19">
        <f>IFERROR(VLOOKUP(AN271,BUDGET_BANDS!$A$2:$C$9,2,FALSE),"")</f>
        <v/>
      </c>
      <c r="AP271" s="19">
        <f>IFERROR(VLOOKUP(AN271,BUDGET_BANDS!$A$2:$C$9,3,FALSE),"")</f>
        <v/>
      </c>
    </row>
    <row r="272">
      <c r="A272" s="5" t="inlineStr">
        <is>
          <t>Michael Morris</t>
        </is>
      </c>
      <c r="B272" s="5" t="inlineStr">
        <is>
          <t>T3</t>
        </is>
      </c>
      <c r="C272" s="5" t="inlineStr">
        <is>
          <t>Established</t>
        </is>
      </c>
      <c r="D272" s="5" t="inlineStr">
        <is>
          <t>US/UK</t>
        </is>
      </c>
      <c r="E272" s="5" t="inlineStr">
        <is>
          <t>Romantic comedy</t>
        </is>
      </c>
      <c r="F272" s="5" t="inlineStr">
        <is>
          <t>Comedy,Drama</t>
        </is>
      </c>
      <c r="G272" s="5" t="inlineStr">
        <is>
          <t>Mid/Studio</t>
        </is>
      </c>
      <c r="H272" s="5" t="inlineStr">
        <is>
          <t>warm, commercial</t>
        </is>
      </c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>
        <is>
          <t>Seeded</t>
        </is>
      </c>
      <c r="S272" s="5" t="inlineStr">
        <is>
          <t>2026-01-29</t>
        </is>
      </c>
      <c r="T272" s="5" t="inlineStr">
        <is>
          <t>https://en.wikipedia.org/w/index.php?search=Michael+Morris</t>
        </is>
      </c>
      <c r="U272" s="5" t="inlineStr">
        <is>
          <t>https://www.imdb.com/find/?q=Michael+Morris&amp;s=nm</t>
        </is>
      </c>
      <c r="AO272" s="19">
        <f>IFERROR(VLOOKUP(AN272,BUDGET_BANDS!$A$2:$C$9,2,FALSE),"")</f>
        <v/>
      </c>
      <c r="AP272" s="19">
        <f>IFERROR(VLOOKUP(AN272,BUDGET_BANDS!$A$2:$C$9,3,FALSE),"")</f>
        <v/>
      </c>
    </row>
    <row r="273">
      <c r="A273" s="5" t="inlineStr">
        <is>
          <t>Michael Showalter</t>
        </is>
      </c>
      <c r="B273" s="5" t="inlineStr">
        <is>
          <t>T3</t>
        </is>
      </c>
      <c r="C273" s="5" t="inlineStr">
        <is>
          <t>Established (high output)</t>
        </is>
      </c>
      <c r="D273" s="5" t="inlineStr">
        <is>
          <t>US/Intl</t>
        </is>
      </c>
      <c r="E273" s="5" t="inlineStr">
        <is>
          <t>Comedy</t>
        </is>
      </c>
      <c r="F273" s="5" t="inlineStr">
        <is>
          <t>Romantic comedy,Action-comedy</t>
        </is>
      </c>
      <c r="G273" s="5" t="inlineStr">
        <is>
          <t>Low/Mid</t>
        </is>
      </c>
      <c r="H273" s="5" t="inlineStr">
        <is>
          <t>broad, commercial</t>
        </is>
      </c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>
        <is>
          <t>Seeded</t>
        </is>
      </c>
      <c r="S273" s="5" t="inlineStr">
        <is>
          <t>2026-01-29</t>
        </is>
      </c>
      <c r="T273" s="5" t="inlineStr">
        <is>
          <t>https://en.wikipedia.org/w/index.php?search=Michael+Showalter</t>
        </is>
      </c>
      <c r="U273" s="5" t="inlineStr">
        <is>
          <t>https://www.imdb.com/find/?q=Michael+Showalter&amp;s=nm</t>
        </is>
      </c>
      <c r="AO273" s="19">
        <f>IFERROR(VLOOKUP(AN273,BUDGET_BANDS!$A$2:$C$9,2,FALSE),"")</f>
        <v/>
      </c>
      <c r="AP273" s="19">
        <f>IFERROR(VLOOKUP(AN273,BUDGET_BANDS!$A$2:$C$9,3,FALSE),"")</f>
        <v/>
      </c>
    </row>
    <row r="274">
      <c r="A274" s="5" t="inlineStr">
        <is>
          <t>Miguel Arteta</t>
        </is>
      </c>
      <c r="B274" s="5" t="inlineStr">
        <is>
          <t>T3</t>
        </is>
      </c>
      <c r="C274" s="5" t="inlineStr">
        <is>
          <t>Established (high output)</t>
        </is>
      </c>
      <c r="D274" s="5" t="inlineStr">
        <is>
          <t>US/Intl</t>
        </is>
      </c>
      <c r="E274" s="5" t="inlineStr">
        <is>
          <t>Comedy</t>
        </is>
      </c>
      <c r="F274" s="5" t="inlineStr">
        <is>
          <t>Romantic comedy,Action-comedy</t>
        </is>
      </c>
      <c r="G274" s="5" t="inlineStr">
        <is>
          <t>Low/Mid</t>
        </is>
      </c>
      <c r="H274" s="5" t="inlineStr">
        <is>
          <t>broad, commercial</t>
        </is>
      </c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>
        <is>
          <t>Seeded</t>
        </is>
      </c>
      <c r="S274" s="5" t="inlineStr">
        <is>
          <t>2026-01-29</t>
        </is>
      </c>
      <c r="T274" s="5" t="inlineStr">
        <is>
          <t>https://en.wikipedia.org/w/index.php?search=Miguel+Arteta</t>
        </is>
      </c>
      <c r="U274" s="5" t="inlineStr">
        <is>
          <t>https://www.imdb.com/find/?q=Miguel+Arteta&amp;s=nm</t>
        </is>
      </c>
      <c r="AO274" s="19">
        <f>IFERROR(VLOOKUP(AN274,BUDGET_BANDS!$A$2:$C$9,2,FALSE),"")</f>
        <v/>
      </c>
      <c r="AP274" s="19">
        <f>IFERROR(VLOOKUP(AN274,BUDGET_BANDS!$A$2:$C$9,3,FALSE),"")</f>
        <v/>
      </c>
    </row>
    <row r="275">
      <c r="A275" s="5" t="inlineStr">
        <is>
          <t>Mike P. Nelson</t>
        </is>
      </c>
      <c r="B275" s="5" t="inlineStr">
        <is>
          <t>T3</t>
        </is>
      </c>
      <c r="C275" s="5" t="inlineStr">
        <is>
          <t>Established</t>
        </is>
      </c>
      <c r="D275" s="5" t="inlineStr">
        <is>
          <t>US/Intl</t>
        </is>
      </c>
      <c r="E275" s="5" t="inlineStr">
        <is>
          <t>Horror</t>
        </is>
      </c>
      <c r="F275" s="5" t="inlineStr">
        <is>
          <t>Thriller/Mystery</t>
        </is>
      </c>
      <c r="G275" s="5" t="inlineStr">
        <is>
          <t>Low/Mid</t>
        </is>
      </c>
      <c r="H275" s="5" t="inlineStr">
        <is>
          <t>genre-forward</t>
        </is>
      </c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>
        <is>
          <t>Seeded</t>
        </is>
      </c>
      <c r="S275" s="5" t="inlineStr">
        <is>
          <t>2026-01-29</t>
        </is>
      </c>
      <c r="T275" s="5" t="inlineStr">
        <is>
          <t>https://en.wikipedia.org/w/index.php?search=Mike+P.+Nelson</t>
        </is>
      </c>
      <c r="U275" s="5" t="inlineStr">
        <is>
          <t>https://www.imdb.com/find/?q=Mike+P.+Nelson&amp;s=nm</t>
        </is>
      </c>
      <c r="AO275" s="19">
        <f>IFERROR(VLOOKUP(AN275,BUDGET_BANDS!$A$2:$C$9,2,FALSE),"")</f>
        <v/>
      </c>
      <c r="AP275" s="19">
        <f>IFERROR(VLOOKUP(AN275,BUDGET_BANDS!$A$2:$C$9,3,FALSE),"")</f>
        <v/>
      </c>
    </row>
    <row r="276">
      <c r="A276" s="5" t="inlineStr">
        <is>
          <t>Nicholas Hytner</t>
        </is>
      </c>
      <c r="B276" s="5" t="inlineStr">
        <is>
          <t>T3</t>
        </is>
      </c>
      <c r="C276" s="5" t="inlineStr">
        <is>
          <t>Established</t>
        </is>
      </c>
      <c r="D276" s="5" t="inlineStr">
        <is>
          <t>US/UK</t>
        </is>
      </c>
      <c r="E276" s="5" t="inlineStr">
        <is>
          <t>Romantic comedy</t>
        </is>
      </c>
      <c r="F276" s="5" t="inlineStr">
        <is>
          <t>Comedy,Drama</t>
        </is>
      </c>
      <c r="G276" s="5" t="inlineStr">
        <is>
          <t>Mid/Studio</t>
        </is>
      </c>
      <c r="H276" s="5" t="inlineStr">
        <is>
          <t>warm, commercial</t>
        </is>
      </c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>
        <is>
          <t>Seeded</t>
        </is>
      </c>
      <c r="S276" s="5" t="inlineStr">
        <is>
          <t>2026-01-29</t>
        </is>
      </c>
      <c r="T276" s="5" t="inlineStr">
        <is>
          <t>https://en.wikipedia.org/w/index.php?search=Nicholas+Hytner</t>
        </is>
      </c>
      <c r="U276" s="5" t="inlineStr">
        <is>
          <t>https://www.imdb.com/find/?q=Nicholas+Hytner&amp;s=nm</t>
        </is>
      </c>
      <c r="AO276" s="19">
        <f>IFERROR(VLOOKUP(AN276,BUDGET_BANDS!$A$2:$C$9,2,FALSE),"")</f>
        <v/>
      </c>
      <c r="AP276" s="19">
        <f>IFERROR(VLOOKUP(AN276,BUDGET_BANDS!$A$2:$C$9,3,FALSE),"")</f>
        <v/>
      </c>
    </row>
    <row r="277">
      <c r="A277" s="5" t="inlineStr">
        <is>
          <t>Nicolas Pesce</t>
        </is>
      </c>
      <c r="B277" s="5" t="inlineStr">
        <is>
          <t>T3</t>
        </is>
      </c>
      <c r="C277" s="5" t="inlineStr">
        <is>
          <t>Established (high output)</t>
        </is>
      </c>
      <c r="D277" s="5" t="inlineStr">
        <is>
          <t>US/Intl</t>
        </is>
      </c>
      <c r="E277" s="5" t="inlineStr">
        <is>
          <t>Horror</t>
        </is>
      </c>
      <c r="F277" s="5" t="inlineStr">
        <is>
          <t>Thriller/Mystery</t>
        </is>
      </c>
      <c r="G277" s="5" t="inlineStr">
        <is>
          <t>Low/Mid</t>
        </is>
      </c>
      <c r="H277" s="5" t="inlineStr">
        <is>
          <t>genre-forward</t>
        </is>
      </c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>
        <is>
          <t>Seeded</t>
        </is>
      </c>
      <c r="S277" s="5" t="inlineStr">
        <is>
          <t>2026-01-29</t>
        </is>
      </c>
      <c r="T277" s="5" t="inlineStr">
        <is>
          <t>https://en.wikipedia.org/w/index.php?search=Nicolas+Pesce</t>
        </is>
      </c>
      <c r="U277" s="5" t="inlineStr">
        <is>
          <t>https://www.imdb.com/find/?q=Nicolas+Pesce&amp;s=nm</t>
        </is>
      </c>
      <c r="AO277" s="19">
        <f>IFERROR(VLOOKUP(AN277,BUDGET_BANDS!$A$2:$C$9,2,FALSE),"")</f>
        <v/>
      </c>
      <c r="AP277" s="19">
        <f>IFERROR(VLOOKUP(AN277,BUDGET_BANDS!$A$2:$C$9,3,FALSE),"")</f>
        <v/>
      </c>
    </row>
    <row r="278">
      <c r="A278" s="5" t="inlineStr">
        <is>
          <t>Nimród Antal</t>
        </is>
      </c>
      <c r="B278" s="5" t="inlineStr">
        <is>
          <t>T3</t>
        </is>
      </c>
      <c r="C278" s="5" t="inlineStr">
        <is>
          <t>Established (high output)</t>
        </is>
      </c>
      <c r="D278" s="5" t="inlineStr">
        <is>
          <t>US/Intl</t>
        </is>
      </c>
      <c r="E278" s="5" t="inlineStr">
        <is>
          <t>Action</t>
        </is>
      </c>
      <c r="F278" s="5" t="inlineStr">
        <is>
          <t>Thriller/Mystery</t>
        </is>
      </c>
      <c r="G278" s="5" t="inlineStr">
        <is>
          <t>Mid/Studio</t>
        </is>
      </c>
      <c r="H278" s="5" t="inlineStr">
        <is>
          <t>efficient, propulsive</t>
        </is>
      </c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>
        <is>
          <t>Seeded</t>
        </is>
      </c>
      <c r="S278" s="5" t="inlineStr">
        <is>
          <t>2026-01-29</t>
        </is>
      </c>
      <c r="T278" s="5" t="inlineStr">
        <is>
          <t>https://en.wikipedia.org/w/index.php?search=Nimr%C3%B3d+Antal</t>
        </is>
      </c>
      <c r="U278" s="5" t="inlineStr">
        <is>
          <t>https://www.imdb.com/find/?q=Nimr%C3%B3d+Antal&amp;s=nm</t>
        </is>
      </c>
      <c r="AO278" s="19">
        <f>IFERROR(VLOOKUP(AN278,BUDGET_BANDS!$A$2:$C$9,2,FALSE),"")</f>
        <v/>
      </c>
      <c r="AP278" s="19">
        <f>IFERROR(VLOOKUP(AN278,BUDGET_BANDS!$A$2:$C$9,3,FALSE),"")</f>
        <v/>
      </c>
    </row>
    <row r="279">
      <c r="A279" s="5" t="inlineStr">
        <is>
          <t>Nisha Ganatra</t>
        </is>
      </c>
      <c r="B279" s="5" t="inlineStr">
        <is>
          <t>T3</t>
        </is>
      </c>
      <c r="C279" s="5" t="inlineStr">
        <is>
          <t>Established (high output)</t>
        </is>
      </c>
      <c r="D279" s="5" t="inlineStr">
        <is>
          <t>US/Intl</t>
        </is>
      </c>
      <c r="E279" s="5" t="inlineStr">
        <is>
          <t>Comedy</t>
        </is>
      </c>
      <c r="F279" s="5" t="inlineStr">
        <is>
          <t>Romantic comedy,Action-comedy</t>
        </is>
      </c>
      <c r="G279" s="5" t="inlineStr">
        <is>
          <t>Low/Mid</t>
        </is>
      </c>
      <c r="H279" s="5" t="inlineStr">
        <is>
          <t>broad, commercial</t>
        </is>
      </c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>
        <is>
          <t>Seeded</t>
        </is>
      </c>
      <c r="S279" s="5" t="inlineStr">
        <is>
          <t>2026-01-29</t>
        </is>
      </c>
      <c r="T279" s="5" t="inlineStr">
        <is>
          <t>https://en.wikipedia.org/w/index.php?search=Nisha+Ganatra</t>
        </is>
      </c>
      <c r="U279" s="5" t="inlineStr">
        <is>
          <t>https://www.imdb.com/find/?q=Nisha+Ganatra&amp;s=nm</t>
        </is>
      </c>
      <c r="AO279" s="19">
        <f>IFERROR(VLOOKUP(AN279,BUDGET_BANDS!$A$2:$C$9,2,FALSE),"")</f>
        <v/>
      </c>
      <c r="AP279" s="19">
        <f>IFERROR(VLOOKUP(AN279,BUDGET_BANDS!$A$2:$C$9,3,FALSE),"")</f>
        <v/>
      </c>
    </row>
    <row r="280">
      <c r="A280" s="5" t="inlineStr">
        <is>
          <t>Olivier Megaton</t>
        </is>
      </c>
      <c r="B280" s="5" t="inlineStr">
        <is>
          <t>T3</t>
        </is>
      </c>
      <c r="C280" s="5" t="inlineStr">
        <is>
          <t>Established (high output)</t>
        </is>
      </c>
      <c r="D280" s="5" t="inlineStr">
        <is>
          <t>US/Intl</t>
        </is>
      </c>
      <c r="E280" s="5" t="inlineStr">
        <is>
          <t>Action</t>
        </is>
      </c>
      <c r="F280" s="5" t="inlineStr">
        <is>
          <t>Thriller/Mystery</t>
        </is>
      </c>
      <c r="G280" s="5" t="inlineStr">
        <is>
          <t>Mid/Studio</t>
        </is>
      </c>
      <c r="H280" s="5" t="inlineStr">
        <is>
          <t>efficient, propulsive</t>
        </is>
      </c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>
        <is>
          <t>Seeded</t>
        </is>
      </c>
      <c r="S280" s="5" t="inlineStr">
        <is>
          <t>2026-01-29</t>
        </is>
      </c>
      <c r="T280" s="5" t="inlineStr">
        <is>
          <t>https://en.wikipedia.org/w/index.php?search=Olivier+Megaton</t>
        </is>
      </c>
      <c r="U280" s="5" t="inlineStr">
        <is>
          <t>https://www.imdb.com/find/?q=Olivier+Megaton&amp;s=nm</t>
        </is>
      </c>
      <c r="AO280" s="19">
        <f>IFERROR(VLOOKUP(AN280,BUDGET_BANDS!$A$2:$C$9,2,FALSE),"")</f>
        <v/>
      </c>
      <c r="AP280" s="19">
        <f>IFERROR(VLOOKUP(AN280,BUDGET_BANDS!$A$2:$C$9,3,FALSE),"")</f>
        <v/>
      </c>
    </row>
    <row r="281">
      <c r="A281" s="5" t="inlineStr">
        <is>
          <t>Omar Naim</t>
        </is>
      </c>
      <c r="B281" s="5" t="inlineStr">
        <is>
          <t>T3</t>
        </is>
      </c>
      <c r="C281" s="5" t="inlineStr">
        <is>
          <t>Established</t>
        </is>
      </c>
      <c r="D281" s="5" t="inlineStr">
        <is>
          <t>US/Intl</t>
        </is>
      </c>
      <c r="E281" s="5" t="inlineStr">
        <is>
          <t>Horror</t>
        </is>
      </c>
      <c r="F281" s="5" t="inlineStr">
        <is>
          <t>Thriller/Mystery</t>
        </is>
      </c>
      <c r="G281" s="5" t="inlineStr">
        <is>
          <t>Low/Mid</t>
        </is>
      </c>
      <c r="H281" s="5" t="inlineStr">
        <is>
          <t>genre-forward</t>
        </is>
      </c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>
        <is>
          <t>Seeded</t>
        </is>
      </c>
      <c r="S281" s="5" t="inlineStr">
        <is>
          <t>2026-01-29</t>
        </is>
      </c>
      <c r="T281" s="5" t="inlineStr">
        <is>
          <t>https://en.wikipedia.org/w/index.php?search=Omar+Naim</t>
        </is>
      </c>
      <c r="U281" s="5" t="inlineStr">
        <is>
          <t>https://www.imdb.com/find/?q=Omar+Naim&amp;s=nm</t>
        </is>
      </c>
      <c r="AO281" s="19">
        <f>IFERROR(VLOOKUP(AN281,BUDGET_BANDS!$A$2:$C$9,2,FALSE),"")</f>
        <v/>
      </c>
      <c r="AP281" s="19">
        <f>IFERROR(VLOOKUP(AN281,BUDGET_BANDS!$A$2:$C$9,3,FALSE),"")</f>
        <v/>
      </c>
    </row>
    <row r="282">
      <c r="A282" s="5" t="inlineStr">
        <is>
          <t>Patrick Brice</t>
        </is>
      </c>
      <c r="B282" s="5" t="inlineStr">
        <is>
          <t>T3</t>
        </is>
      </c>
      <c r="C282" s="5" t="inlineStr">
        <is>
          <t>Established (high output)</t>
        </is>
      </c>
      <c r="D282" s="5" t="inlineStr">
        <is>
          <t>US/Intl</t>
        </is>
      </c>
      <c r="E282" s="5" t="inlineStr">
        <is>
          <t>Horror</t>
        </is>
      </c>
      <c r="F282" s="5" t="inlineStr">
        <is>
          <t>Thriller/Mystery</t>
        </is>
      </c>
      <c r="G282" s="5" t="inlineStr">
        <is>
          <t>Low/Mid</t>
        </is>
      </c>
      <c r="H282" s="5" t="inlineStr">
        <is>
          <t>genre-forward</t>
        </is>
      </c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>
        <is>
          <t>Seeded</t>
        </is>
      </c>
      <c r="S282" s="5" t="inlineStr">
        <is>
          <t>2026-01-29</t>
        </is>
      </c>
      <c r="T282" s="5" t="inlineStr">
        <is>
          <t>https://en.wikipedia.org/w/index.php?search=Patrick+Brice</t>
        </is>
      </c>
      <c r="U282" s="5" t="inlineStr">
        <is>
          <t>https://www.imdb.com/find/?q=Patrick+Brice&amp;s=nm</t>
        </is>
      </c>
      <c r="AO282" s="19">
        <f>IFERROR(VLOOKUP(AN282,BUDGET_BANDS!$A$2:$C$9,2,FALSE),"")</f>
        <v/>
      </c>
      <c r="AP282" s="19">
        <f>IFERROR(VLOOKUP(AN282,BUDGET_BANDS!$A$2:$C$9,3,FALSE),"")</f>
        <v/>
      </c>
    </row>
    <row r="283">
      <c r="A283" s="5" t="inlineStr">
        <is>
          <t>Patrick Hughes</t>
        </is>
      </c>
      <c r="B283" s="5" t="inlineStr">
        <is>
          <t>T3</t>
        </is>
      </c>
      <c r="C283" s="5" t="inlineStr">
        <is>
          <t>Established (high output)</t>
        </is>
      </c>
      <c r="D283" s="5" t="inlineStr">
        <is>
          <t>US/Intl</t>
        </is>
      </c>
      <c r="E283" s="5" t="inlineStr">
        <is>
          <t>Action</t>
        </is>
      </c>
      <c r="F283" s="5" t="inlineStr">
        <is>
          <t>Thriller/Mystery</t>
        </is>
      </c>
      <c r="G283" s="5" t="inlineStr">
        <is>
          <t>Mid/Studio</t>
        </is>
      </c>
      <c r="H283" s="5" t="inlineStr">
        <is>
          <t>efficient, propulsive</t>
        </is>
      </c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>
        <is>
          <t>Seeded</t>
        </is>
      </c>
      <c r="S283" s="5" t="inlineStr">
        <is>
          <t>2026-01-29</t>
        </is>
      </c>
      <c r="T283" s="5" t="inlineStr">
        <is>
          <t>https://en.wikipedia.org/w/index.php?search=Patrick+Hughes</t>
        </is>
      </c>
      <c r="U283" s="5" t="inlineStr">
        <is>
          <t>https://www.imdb.com/find/?q=Patrick+Hughes&amp;s=nm</t>
        </is>
      </c>
      <c r="AO283" s="19">
        <f>IFERROR(VLOOKUP(AN283,BUDGET_BANDS!$A$2:$C$9,2,FALSE),"")</f>
        <v/>
      </c>
      <c r="AP283" s="19">
        <f>IFERROR(VLOOKUP(AN283,BUDGET_BANDS!$A$2:$C$9,3,FALSE),"")</f>
        <v/>
      </c>
    </row>
    <row r="284">
      <c r="A284" s="5" t="inlineStr">
        <is>
          <t>Paul McGuigan</t>
        </is>
      </c>
      <c r="B284" s="5" t="inlineStr">
        <is>
          <t>T3</t>
        </is>
      </c>
      <c r="C284" s="5" t="inlineStr">
        <is>
          <t>Established</t>
        </is>
      </c>
      <c r="D284" s="5" t="inlineStr">
        <is>
          <t>US/Intl</t>
        </is>
      </c>
      <c r="E284" s="5" t="inlineStr">
        <is>
          <t>Horror</t>
        </is>
      </c>
      <c r="F284" s="5" t="inlineStr">
        <is>
          <t>Thriller/Mystery</t>
        </is>
      </c>
      <c r="G284" s="5" t="inlineStr">
        <is>
          <t>Low/Mid</t>
        </is>
      </c>
      <c r="H284" s="5" t="inlineStr">
        <is>
          <t>genre-forward</t>
        </is>
      </c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>
        <is>
          <t>Seeded</t>
        </is>
      </c>
      <c r="S284" s="5" t="inlineStr">
        <is>
          <t>2026-01-29</t>
        </is>
      </c>
      <c r="T284" s="5" t="inlineStr">
        <is>
          <t>https://en.wikipedia.org/w/index.php?search=Paul+McGuigan</t>
        </is>
      </c>
      <c r="U284" s="5" t="inlineStr">
        <is>
          <t>https://www.imdb.com/find/?q=Paul+McGuigan&amp;s=nm</t>
        </is>
      </c>
      <c r="AO284" s="19">
        <f>IFERROR(VLOOKUP(AN284,BUDGET_BANDS!$A$2:$C$9,2,FALSE),"")</f>
        <v/>
      </c>
      <c r="AP284" s="19">
        <f>IFERROR(VLOOKUP(AN284,BUDGET_BANDS!$A$2:$C$9,3,FALSE),"")</f>
        <v/>
      </c>
    </row>
    <row r="285">
      <c r="A285" s="5" t="inlineStr">
        <is>
          <t>Paul Weitz</t>
        </is>
      </c>
      <c r="B285" s="5" t="inlineStr">
        <is>
          <t>T3</t>
        </is>
      </c>
      <c r="C285" s="5" t="inlineStr">
        <is>
          <t>Established (high output)</t>
        </is>
      </c>
      <c r="D285" s="5" t="inlineStr">
        <is>
          <t>US/Intl</t>
        </is>
      </c>
      <c r="E285" s="5" t="inlineStr">
        <is>
          <t>Comedy</t>
        </is>
      </c>
      <c r="F285" s="5" t="inlineStr">
        <is>
          <t>Romantic comedy,Action-comedy</t>
        </is>
      </c>
      <c r="G285" s="5" t="inlineStr">
        <is>
          <t>Low/Mid</t>
        </is>
      </c>
      <c r="H285" s="5" t="inlineStr">
        <is>
          <t>broad, commercial</t>
        </is>
      </c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>
        <is>
          <t>Seeded</t>
        </is>
      </c>
      <c r="S285" s="5" t="inlineStr">
        <is>
          <t>2026-01-29</t>
        </is>
      </c>
      <c r="T285" s="5" t="inlineStr">
        <is>
          <t>https://en.wikipedia.org/w/index.php?search=Paul+Weitz</t>
        </is>
      </c>
      <c r="U285" s="5" t="inlineStr">
        <is>
          <t>https://www.imdb.com/find/?q=Paul+Weitz&amp;s=nm</t>
        </is>
      </c>
      <c r="AO285" s="19">
        <f>IFERROR(VLOOKUP(AN285,BUDGET_BANDS!$A$2:$C$9,2,FALSE),"")</f>
        <v/>
      </c>
      <c r="AP285" s="19">
        <f>IFERROR(VLOOKUP(AN285,BUDGET_BANDS!$A$2:$C$9,3,FALSE),"")</f>
        <v/>
      </c>
    </row>
    <row r="286">
      <c r="A286" s="5" t="inlineStr">
        <is>
          <t>Peter Farrelly</t>
        </is>
      </c>
      <c r="B286" s="5" t="inlineStr">
        <is>
          <t>T3</t>
        </is>
      </c>
      <c r="C286" s="5" t="inlineStr">
        <is>
          <t>Established (high output)</t>
        </is>
      </c>
      <c r="D286" s="5" t="inlineStr">
        <is>
          <t>US/Intl</t>
        </is>
      </c>
      <c r="E286" s="5" t="inlineStr">
        <is>
          <t>Comedy</t>
        </is>
      </c>
      <c r="F286" s="5" t="inlineStr">
        <is>
          <t>Romantic comedy,Action-comedy</t>
        </is>
      </c>
      <c r="G286" s="5" t="inlineStr">
        <is>
          <t>Low/Mid</t>
        </is>
      </c>
      <c r="H286" s="5" t="inlineStr">
        <is>
          <t>broad, commercial</t>
        </is>
      </c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>
        <is>
          <t>Seeded</t>
        </is>
      </c>
      <c r="S286" s="5" t="inlineStr">
        <is>
          <t>2026-01-29</t>
        </is>
      </c>
      <c r="T286" s="5" t="inlineStr">
        <is>
          <t>https://en.wikipedia.org/w/index.php?search=Peter+Farrelly</t>
        </is>
      </c>
      <c r="U286" s="5" t="inlineStr">
        <is>
          <t>https://www.imdb.com/find/?q=Peter+Farrelly&amp;s=nm</t>
        </is>
      </c>
      <c r="AO286" s="19">
        <f>IFERROR(VLOOKUP(AN286,BUDGET_BANDS!$A$2:$C$9,2,FALSE),"")</f>
        <v/>
      </c>
      <c r="AP286" s="19">
        <f>IFERROR(VLOOKUP(AN286,BUDGET_BANDS!$A$2:$C$9,3,FALSE),"")</f>
        <v/>
      </c>
    </row>
    <row r="287">
      <c r="A287" s="5" t="inlineStr">
        <is>
          <t>Peter Hedges</t>
        </is>
      </c>
      <c r="B287" s="5" t="inlineStr">
        <is>
          <t>T3</t>
        </is>
      </c>
      <c r="C287" s="5" t="inlineStr">
        <is>
          <t>Established</t>
        </is>
      </c>
      <c r="D287" s="5" t="inlineStr">
        <is>
          <t>US/UK</t>
        </is>
      </c>
      <c r="E287" s="5" t="inlineStr">
        <is>
          <t>Drama</t>
        </is>
      </c>
      <c r="F287" s="5" t="inlineStr">
        <is>
          <t>Biopic,Prestige drama</t>
        </is>
      </c>
      <c r="G287" s="5" t="inlineStr">
        <is>
          <t>Mid</t>
        </is>
      </c>
      <c r="H287" s="5" t="inlineStr">
        <is>
          <t>character-forward</t>
        </is>
      </c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>
        <is>
          <t>Seeded</t>
        </is>
      </c>
      <c r="S287" s="5" t="inlineStr">
        <is>
          <t>2026-01-29</t>
        </is>
      </c>
      <c r="T287" s="5" t="inlineStr">
        <is>
          <t>https://en.wikipedia.org/w/index.php?search=Peter+Hedges</t>
        </is>
      </c>
      <c r="U287" s="5" t="inlineStr">
        <is>
          <t>https://www.imdb.com/find/?q=Peter+Hedges&amp;s=nm</t>
        </is>
      </c>
      <c r="AO287" s="19">
        <f>IFERROR(VLOOKUP(AN287,BUDGET_BANDS!$A$2:$C$9,2,FALSE),"")</f>
        <v/>
      </c>
      <c r="AP287" s="19">
        <f>IFERROR(VLOOKUP(AN287,BUDGET_BANDS!$A$2:$C$9,3,FALSE),"")</f>
        <v/>
      </c>
    </row>
    <row r="288">
      <c r="A288" s="5" t="inlineStr">
        <is>
          <t>Peyton Reed</t>
        </is>
      </c>
      <c r="B288" s="5" t="inlineStr">
        <is>
          <t>T3</t>
        </is>
      </c>
      <c r="C288" s="5" t="inlineStr">
        <is>
          <t>Established</t>
        </is>
      </c>
      <c r="D288" s="5" t="inlineStr">
        <is>
          <t>US/UK</t>
        </is>
      </c>
      <c r="E288" s="5" t="inlineStr">
        <is>
          <t>Romantic comedy</t>
        </is>
      </c>
      <c r="F288" s="5" t="inlineStr">
        <is>
          <t>Comedy,Drama</t>
        </is>
      </c>
      <c r="G288" s="5" t="inlineStr">
        <is>
          <t>Mid/Studio</t>
        </is>
      </c>
      <c r="H288" s="5" t="inlineStr">
        <is>
          <t>warm, commercial</t>
        </is>
      </c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>
        <is>
          <t>Seeded</t>
        </is>
      </c>
      <c r="S288" s="5" t="inlineStr">
        <is>
          <t>2026-01-29</t>
        </is>
      </c>
      <c r="T288" s="5" t="inlineStr">
        <is>
          <t>https://en.wikipedia.org/w/index.php?search=Peyton+Reed</t>
        </is>
      </c>
      <c r="U288" s="5" t="inlineStr">
        <is>
          <t>https://www.imdb.com/find/?q=Peyton+Reed&amp;s=nm</t>
        </is>
      </c>
      <c r="AO288" s="19">
        <f>IFERROR(VLOOKUP(AN288,BUDGET_BANDS!$A$2:$C$9,2,FALSE),"")</f>
        <v/>
      </c>
      <c r="AP288" s="19">
        <f>IFERROR(VLOOKUP(AN288,BUDGET_BANDS!$A$2:$C$9,3,FALSE),"")</f>
        <v/>
      </c>
    </row>
    <row r="289">
      <c r="A289" s="5" t="inlineStr">
        <is>
          <t>Pierre Morel</t>
        </is>
      </c>
      <c r="B289" s="5" t="inlineStr">
        <is>
          <t>T3</t>
        </is>
      </c>
      <c r="C289" s="5" t="inlineStr">
        <is>
          <t>Established (high output)</t>
        </is>
      </c>
      <c r="D289" s="5" t="inlineStr">
        <is>
          <t>US/Intl</t>
        </is>
      </c>
      <c r="E289" s="5" t="inlineStr">
        <is>
          <t>Action</t>
        </is>
      </c>
      <c r="F289" s="5" t="inlineStr">
        <is>
          <t>Thriller/Mystery</t>
        </is>
      </c>
      <c r="G289" s="5" t="inlineStr">
        <is>
          <t>Mid/Studio</t>
        </is>
      </c>
      <c r="H289" s="5" t="inlineStr">
        <is>
          <t>efficient, propulsive</t>
        </is>
      </c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>
        <is>
          <t>Seeded</t>
        </is>
      </c>
      <c r="S289" s="5" t="inlineStr">
        <is>
          <t>2026-01-29</t>
        </is>
      </c>
      <c r="T289" s="5" t="inlineStr">
        <is>
          <t>https://en.wikipedia.org/w/index.php?search=Pierre+Morel</t>
        </is>
      </c>
      <c r="U289" s="5" t="inlineStr">
        <is>
          <t>https://www.imdb.com/find/?q=Pierre+Morel&amp;s=nm</t>
        </is>
      </c>
      <c r="AO289" s="19">
        <f>IFERROR(VLOOKUP(AN289,BUDGET_BANDS!$A$2:$C$9,2,FALSE),"")</f>
        <v/>
      </c>
      <c r="AP289" s="19">
        <f>IFERROR(VLOOKUP(AN289,BUDGET_BANDS!$A$2:$C$9,3,FALSE),"")</f>
        <v/>
      </c>
    </row>
    <row r="290">
      <c r="A290" s="5" t="inlineStr">
        <is>
          <t>Ramin Bahrani</t>
        </is>
      </c>
      <c r="B290" s="5" t="inlineStr">
        <is>
          <t>T3</t>
        </is>
      </c>
      <c r="C290" s="5" t="inlineStr">
        <is>
          <t>Established</t>
        </is>
      </c>
      <c r="D290" s="5" t="inlineStr">
        <is>
          <t>US/UK</t>
        </is>
      </c>
      <c r="E290" s="5" t="inlineStr">
        <is>
          <t>Drama</t>
        </is>
      </c>
      <c r="F290" s="5" t="inlineStr">
        <is>
          <t>Biopic,Prestige drama</t>
        </is>
      </c>
      <c r="G290" s="5" t="inlineStr">
        <is>
          <t>Mid</t>
        </is>
      </c>
      <c r="H290" s="5" t="inlineStr">
        <is>
          <t>character-forward</t>
        </is>
      </c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>
        <is>
          <t>Seeded</t>
        </is>
      </c>
      <c r="S290" s="5" t="inlineStr">
        <is>
          <t>2026-01-29</t>
        </is>
      </c>
      <c r="T290" s="5" t="inlineStr">
        <is>
          <t>https://en.wikipedia.org/w/index.php?search=Ramin+Bahrani</t>
        </is>
      </c>
      <c r="U290" s="5" t="inlineStr">
        <is>
          <t>https://www.imdb.com/find/?q=Ramin+Bahrani&amp;s=nm</t>
        </is>
      </c>
      <c r="AO290" s="19">
        <f>IFERROR(VLOOKUP(AN290,BUDGET_BANDS!$A$2:$C$9,2,FALSE),"")</f>
        <v/>
      </c>
      <c r="AP290" s="19">
        <f>IFERROR(VLOOKUP(AN290,BUDGET_BANDS!$A$2:$C$9,3,FALSE),"")</f>
        <v/>
      </c>
    </row>
    <row r="291">
      <c r="A291" s="5" t="inlineStr">
        <is>
          <t>Rawson Marshall Thurber</t>
        </is>
      </c>
      <c r="B291" s="5" t="inlineStr">
        <is>
          <t>T3</t>
        </is>
      </c>
      <c r="C291" s="5" t="inlineStr">
        <is>
          <t>Established (high output)</t>
        </is>
      </c>
      <c r="D291" s="5" t="inlineStr">
        <is>
          <t>US/Intl</t>
        </is>
      </c>
      <c r="E291" s="5" t="inlineStr">
        <is>
          <t>Comedy</t>
        </is>
      </c>
      <c r="F291" s="5" t="inlineStr">
        <is>
          <t>Romantic comedy,Action-comedy</t>
        </is>
      </c>
      <c r="G291" s="5" t="inlineStr">
        <is>
          <t>Low/Mid</t>
        </is>
      </c>
      <c r="H291" s="5" t="inlineStr">
        <is>
          <t>broad, commercial</t>
        </is>
      </c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>
        <is>
          <t>Seeded</t>
        </is>
      </c>
      <c r="S291" s="5" t="inlineStr">
        <is>
          <t>2026-01-29</t>
        </is>
      </c>
      <c r="T291" s="5" t="inlineStr">
        <is>
          <t>https://en.wikipedia.org/w/index.php?search=Rawson+Marshall+Thurber</t>
        </is>
      </c>
      <c r="U291" s="5" t="inlineStr">
        <is>
          <t>https://www.imdb.com/find/?q=Rawson+Marshall+Thurber&amp;s=nm</t>
        </is>
      </c>
      <c r="AO291" s="19">
        <f>IFERROR(VLOOKUP(AN291,BUDGET_BANDS!$A$2:$C$9,2,FALSE),"")</f>
        <v/>
      </c>
      <c r="AP291" s="19">
        <f>IFERROR(VLOOKUP(AN291,BUDGET_BANDS!$A$2:$C$9,3,FALSE),"")</f>
        <v/>
      </c>
    </row>
    <row r="292">
      <c r="A292" s="5" t="inlineStr">
        <is>
          <t>Reginald Hudlin</t>
        </is>
      </c>
      <c r="B292" s="5" t="inlineStr">
        <is>
          <t>T3</t>
        </is>
      </c>
      <c r="C292" s="5" t="inlineStr">
        <is>
          <t>Established (high output)</t>
        </is>
      </c>
      <c r="D292" s="5" t="inlineStr">
        <is>
          <t>US/Intl</t>
        </is>
      </c>
      <c r="E292" s="5" t="inlineStr">
        <is>
          <t>Comedy</t>
        </is>
      </c>
      <c r="F292" s="5" t="inlineStr">
        <is>
          <t>Romantic comedy,Action-comedy</t>
        </is>
      </c>
      <c r="G292" s="5" t="inlineStr">
        <is>
          <t>Low/Mid</t>
        </is>
      </c>
      <c r="H292" s="5" t="inlineStr">
        <is>
          <t>broad, commercial</t>
        </is>
      </c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>
        <is>
          <t>Seeded</t>
        </is>
      </c>
      <c r="S292" s="5" t="inlineStr">
        <is>
          <t>2026-01-29</t>
        </is>
      </c>
      <c r="T292" s="5" t="inlineStr">
        <is>
          <t>https://en.wikipedia.org/w/index.php?search=Reginald+Hudlin</t>
        </is>
      </c>
      <c r="U292" s="5" t="inlineStr">
        <is>
          <t>https://www.imdb.com/find/?q=Reginald+Hudlin&amp;s=nm</t>
        </is>
      </c>
      <c r="AO292" s="19">
        <f>IFERROR(VLOOKUP(AN292,BUDGET_BANDS!$A$2:$C$9,2,FALSE),"")</f>
        <v/>
      </c>
      <c r="AP292" s="19">
        <f>IFERROR(VLOOKUP(AN292,BUDGET_BANDS!$A$2:$C$9,3,FALSE),"")</f>
        <v/>
      </c>
    </row>
    <row r="293">
      <c r="A293" s="5" t="inlineStr">
        <is>
          <t>Renny Harlin</t>
        </is>
      </c>
      <c r="B293" s="5" t="inlineStr">
        <is>
          <t>T3</t>
        </is>
      </c>
      <c r="C293" s="5" t="inlineStr">
        <is>
          <t>Established (high output)</t>
        </is>
      </c>
      <c r="D293" s="5" t="inlineStr">
        <is>
          <t>US/Intl</t>
        </is>
      </c>
      <c r="E293" s="5" t="inlineStr">
        <is>
          <t>Horror</t>
        </is>
      </c>
      <c r="F293" s="5" t="inlineStr">
        <is>
          <t>Thriller/Mystery</t>
        </is>
      </c>
      <c r="G293" s="5" t="inlineStr">
        <is>
          <t>Low/Mid</t>
        </is>
      </c>
      <c r="H293" s="5" t="inlineStr">
        <is>
          <t>genre-forward</t>
        </is>
      </c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>
        <is>
          <t>Seeded</t>
        </is>
      </c>
      <c r="S293" s="5" t="inlineStr">
        <is>
          <t>2026-01-29</t>
        </is>
      </c>
      <c r="T293" s="5" t="inlineStr">
        <is>
          <t>https://en.wikipedia.org/w/index.php?search=Renny+Harlin</t>
        </is>
      </c>
      <c r="U293" s="5" t="inlineStr">
        <is>
          <t>https://www.imdb.com/find/?q=Renny+Harlin&amp;s=nm</t>
        </is>
      </c>
      <c r="AO293" s="19">
        <f>IFERROR(VLOOKUP(AN293,BUDGET_BANDS!$A$2:$C$9,2,FALSE),"")</f>
        <v/>
      </c>
      <c r="AP293" s="19">
        <f>IFERROR(VLOOKUP(AN293,BUDGET_BANDS!$A$2:$C$9,3,FALSE),"")</f>
        <v/>
      </c>
    </row>
    <row r="294">
      <c r="A294" s="5" t="inlineStr">
        <is>
          <t>Ric Roman Waugh</t>
        </is>
      </c>
      <c r="B294" s="5" t="inlineStr">
        <is>
          <t>T3</t>
        </is>
      </c>
      <c r="C294" s="5" t="inlineStr">
        <is>
          <t>Established (high output)</t>
        </is>
      </c>
      <c r="D294" s="5" t="inlineStr">
        <is>
          <t>US/Intl</t>
        </is>
      </c>
      <c r="E294" s="5" t="inlineStr">
        <is>
          <t>Action</t>
        </is>
      </c>
      <c r="F294" s="5" t="inlineStr">
        <is>
          <t>Thriller/Mystery</t>
        </is>
      </c>
      <c r="G294" s="5" t="inlineStr">
        <is>
          <t>Mid/Studio</t>
        </is>
      </c>
      <c r="H294" s="5" t="inlineStr">
        <is>
          <t>efficient, propulsive</t>
        </is>
      </c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>
        <is>
          <t>Seeded</t>
        </is>
      </c>
      <c r="S294" s="5" t="inlineStr">
        <is>
          <t>2026-01-29</t>
        </is>
      </c>
      <c r="T294" s="5" t="inlineStr">
        <is>
          <t>https://en.wikipedia.org/w/index.php?search=Ric+Roman+Waugh</t>
        </is>
      </c>
      <c r="U294" s="5" t="inlineStr">
        <is>
          <t>https://www.imdb.com/find/?q=Ric+Roman+Waugh&amp;s=nm</t>
        </is>
      </c>
      <c r="AO294" s="19">
        <f>IFERROR(VLOOKUP(AN294,BUDGET_BANDS!$A$2:$C$9,2,FALSE),"")</f>
        <v/>
      </c>
      <c r="AP294" s="19">
        <f>IFERROR(VLOOKUP(AN294,BUDGET_BANDS!$A$2:$C$9,3,FALSE),"")</f>
        <v/>
      </c>
    </row>
    <row r="295">
      <c r="A295" s="5" t="inlineStr">
        <is>
          <t>Richard Curtis</t>
        </is>
      </c>
      <c r="B295" s="5" t="inlineStr">
        <is>
          <t>T3</t>
        </is>
      </c>
      <c r="C295" s="5" t="inlineStr">
        <is>
          <t>Established</t>
        </is>
      </c>
      <c r="D295" s="5" t="inlineStr">
        <is>
          <t>US/UK</t>
        </is>
      </c>
      <c r="E295" s="5" t="inlineStr">
        <is>
          <t>Romantic comedy</t>
        </is>
      </c>
      <c r="F295" s="5" t="inlineStr">
        <is>
          <t>Comedy,Drama</t>
        </is>
      </c>
      <c r="G295" s="5" t="inlineStr">
        <is>
          <t>Mid/Studio</t>
        </is>
      </c>
      <c r="H295" s="5" t="inlineStr">
        <is>
          <t>warm, commercial</t>
        </is>
      </c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>
        <is>
          <t>Seeded</t>
        </is>
      </c>
      <c r="S295" s="5" t="inlineStr">
        <is>
          <t>2026-01-29</t>
        </is>
      </c>
      <c r="T295" s="5" t="inlineStr">
        <is>
          <t>https://en.wikipedia.org/w/index.php?search=Richard+Curtis</t>
        </is>
      </c>
      <c r="U295" s="5" t="inlineStr">
        <is>
          <t>https://www.imdb.com/find/?q=Richard+Curtis&amp;s=nm</t>
        </is>
      </c>
      <c r="AO295" s="19">
        <f>IFERROR(VLOOKUP(AN295,BUDGET_BANDS!$A$2:$C$9,2,FALSE),"")</f>
        <v/>
      </c>
      <c r="AP295" s="19">
        <f>IFERROR(VLOOKUP(AN295,BUDGET_BANDS!$A$2:$C$9,3,FALSE),"")</f>
        <v/>
      </c>
    </row>
    <row r="296">
      <c r="A296" s="5" t="inlineStr">
        <is>
          <t>Rob Marshall</t>
        </is>
      </c>
      <c r="B296" s="5" t="inlineStr">
        <is>
          <t>T3</t>
        </is>
      </c>
      <c r="C296" s="5" t="inlineStr">
        <is>
          <t>Established</t>
        </is>
      </c>
      <c r="D296" s="5" t="inlineStr">
        <is>
          <t>US/UK</t>
        </is>
      </c>
      <c r="E296" s="5" t="inlineStr">
        <is>
          <t>Drama</t>
        </is>
      </c>
      <c r="F296" s="5" t="inlineStr">
        <is>
          <t>Biopic,Prestige drama</t>
        </is>
      </c>
      <c r="G296" s="5" t="inlineStr">
        <is>
          <t>Mid</t>
        </is>
      </c>
      <c r="H296" s="5" t="inlineStr">
        <is>
          <t>character-forward</t>
        </is>
      </c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>
        <is>
          <t>Seeded</t>
        </is>
      </c>
      <c r="S296" s="5" t="inlineStr">
        <is>
          <t>2026-01-29</t>
        </is>
      </c>
      <c r="T296" s="5" t="inlineStr">
        <is>
          <t>https://en.wikipedia.org/w/index.php?search=Rob+Marshall</t>
        </is>
      </c>
      <c r="U296" s="5" t="inlineStr">
        <is>
          <t>https://www.imdb.com/find/?q=Rob+Marshall&amp;s=nm</t>
        </is>
      </c>
      <c r="AO296" s="19">
        <f>IFERROR(VLOOKUP(AN296,BUDGET_BANDS!$A$2:$C$9,2,FALSE),"")</f>
        <v/>
      </c>
      <c r="AP296" s="19">
        <f>IFERROR(VLOOKUP(AN296,BUDGET_BANDS!$A$2:$C$9,3,FALSE),"")</f>
        <v/>
      </c>
    </row>
    <row r="297">
      <c r="A297" s="5" t="inlineStr">
        <is>
          <t>Rob Savage</t>
        </is>
      </c>
      <c r="B297" s="5" t="inlineStr">
        <is>
          <t>T3</t>
        </is>
      </c>
      <c r="C297" s="5" t="inlineStr">
        <is>
          <t>Established (high output)</t>
        </is>
      </c>
      <c r="D297" s="5" t="inlineStr">
        <is>
          <t>US/Intl</t>
        </is>
      </c>
      <c r="E297" s="5" t="inlineStr">
        <is>
          <t>Horror</t>
        </is>
      </c>
      <c r="F297" s="5" t="inlineStr">
        <is>
          <t>Thriller/Mystery</t>
        </is>
      </c>
      <c r="G297" s="5" t="inlineStr">
        <is>
          <t>Low/Mid</t>
        </is>
      </c>
      <c r="H297" s="5" t="inlineStr">
        <is>
          <t>genre-forward</t>
        </is>
      </c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>
        <is>
          <t>Seeded</t>
        </is>
      </c>
      <c r="S297" s="5" t="inlineStr">
        <is>
          <t>2026-01-29</t>
        </is>
      </c>
      <c r="T297" s="5" t="inlineStr">
        <is>
          <t>https://en.wikipedia.org/w/index.php?search=Rob+Savage</t>
        </is>
      </c>
      <c r="U297" s="5" t="inlineStr">
        <is>
          <t>https://www.imdb.com/find/?q=Rob+Savage&amp;s=nm</t>
        </is>
      </c>
      <c r="AO297" s="19">
        <f>IFERROR(VLOOKUP(AN297,BUDGET_BANDS!$A$2:$C$9,2,FALSE),"")</f>
        <v/>
      </c>
      <c r="AP297" s="19">
        <f>IFERROR(VLOOKUP(AN297,BUDGET_BANDS!$A$2:$C$9,3,FALSE),"")</f>
        <v/>
      </c>
    </row>
    <row r="298">
      <c r="A298" s="5" t="inlineStr">
        <is>
          <t>Robert Luketic</t>
        </is>
      </c>
      <c r="B298" s="5" t="inlineStr">
        <is>
          <t>T3</t>
        </is>
      </c>
      <c r="C298" s="5" t="inlineStr">
        <is>
          <t>Established</t>
        </is>
      </c>
      <c r="D298" s="5" t="inlineStr">
        <is>
          <t>US/UK</t>
        </is>
      </c>
      <c r="E298" s="5" t="inlineStr">
        <is>
          <t>Romantic comedy</t>
        </is>
      </c>
      <c r="F298" s="5" t="inlineStr">
        <is>
          <t>Comedy,Drama</t>
        </is>
      </c>
      <c r="G298" s="5" t="inlineStr">
        <is>
          <t>Mid/Studio</t>
        </is>
      </c>
      <c r="H298" s="5" t="inlineStr">
        <is>
          <t>warm, commercial</t>
        </is>
      </c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>
        <is>
          <t>Seeded</t>
        </is>
      </c>
      <c r="S298" s="5" t="inlineStr">
        <is>
          <t>2026-01-29</t>
        </is>
      </c>
      <c r="T298" s="5" t="inlineStr">
        <is>
          <t>https://en.wikipedia.org/w/index.php?search=Robert+Luketic</t>
        </is>
      </c>
      <c r="U298" s="5" t="inlineStr">
        <is>
          <t>https://www.imdb.com/find/?q=Robert+Luketic&amp;s=nm</t>
        </is>
      </c>
      <c r="AO298" s="19">
        <f>IFERROR(VLOOKUP(AN298,BUDGET_BANDS!$A$2:$C$9,2,FALSE),"")</f>
        <v/>
      </c>
      <c r="AP298" s="19">
        <f>IFERROR(VLOOKUP(AN298,BUDGET_BANDS!$A$2:$C$9,3,FALSE),"")</f>
        <v/>
      </c>
    </row>
    <row r="299">
      <c r="A299" s="5" t="inlineStr">
        <is>
          <t>Roel Reiné</t>
        </is>
      </c>
      <c r="B299" s="5" t="inlineStr">
        <is>
          <t>T3</t>
        </is>
      </c>
      <c r="C299" s="5" t="inlineStr">
        <is>
          <t>Established (high output)</t>
        </is>
      </c>
      <c r="D299" s="5" t="inlineStr">
        <is>
          <t>US/Intl</t>
        </is>
      </c>
      <c r="E299" s="5" t="inlineStr">
        <is>
          <t>Action</t>
        </is>
      </c>
      <c r="F299" s="5" t="inlineStr">
        <is>
          <t>Thriller/Mystery</t>
        </is>
      </c>
      <c r="G299" s="5" t="inlineStr">
        <is>
          <t>Mid/Studio</t>
        </is>
      </c>
      <c r="H299" s="5" t="inlineStr">
        <is>
          <t>efficient, propulsive</t>
        </is>
      </c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>
        <is>
          <t>Seeded</t>
        </is>
      </c>
      <c r="S299" s="5" t="inlineStr">
        <is>
          <t>2026-01-29</t>
        </is>
      </c>
      <c r="T299" s="5" t="inlineStr">
        <is>
          <t>https://en.wikipedia.org/w/index.php?search=Roel+Rein%C3%A9</t>
        </is>
      </c>
      <c r="U299" s="5" t="inlineStr">
        <is>
          <t>https://www.imdb.com/find/?q=Roel+Rein%C3%A9&amp;s=nm</t>
        </is>
      </c>
      <c r="AO299" s="19">
        <f>IFERROR(VLOOKUP(AN299,BUDGET_BANDS!$A$2:$C$9,2,FALSE),"")</f>
        <v/>
      </c>
      <c r="AP299" s="19">
        <f>IFERROR(VLOOKUP(AN299,BUDGET_BANDS!$A$2:$C$9,3,FALSE),"")</f>
        <v/>
      </c>
    </row>
    <row r="300">
      <c r="A300" s="5" t="inlineStr">
        <is>
          <t>Ron Howard</t>
        </is>
      </c>
      <c r="B300" s="5" t="inlineStr">
        <is>
          <t>T3</t>
        </is>
      </c>
      <c r="C300" s="5" t="inlineStr">
        <is>
          <t>Established</t>
        </is>
      </c>
      <c r="D300" s="5" t="inlineStr">
        <is>
          <t>US/UK</t>
        </is>
      </c>
      <c r="E300" s="5" t="inlineStr">
        <is>
          <t>Drama</t>
        </is>
      </c>
      <c r="F300" s="5" t="inlineStr">
        <is>
          <t>Biopic,Prestige drama</t>
        </is>
      </c>
      <c r="G300" s="5" t="inlineStr">
        <is>
          <t>Mid</t>
        </is>
      </c>
      <c r="H300" s="5" t="inlineStr">
        <is>
          <t>character-forward</t>
        </is>
      </c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>
        <is>
          <t>Seeded</t>
        </is>
      </c>
      <c r="S300" s="5" t="inlineStr">
        <is>
          <t>2026-01-29</t>
        </is>
      </c>
      <c r="T300" s="5" t="inlineStr">
        <is>
          <t>https://en.wikipedia.org/w/index.php?search=Ron+Howard</t>
        </is>
      </c>
      <c r="U300" s="5" t="inlineStr">
        <is>
          <t>https://www.imdb.com/find/?q=Ron+Howard&amp;s=nm</t>
        </is>
      </c>
      <c r="AO300" s="19">
        <f>IFERROR(VLOOKUP(AN300,BUDGET_BANDS!$A$2:$C$9,2,FALSE),"")</f>
        <v/>
      </c>
      <c r="AP300" s="19">
        <f>IFERROR(VLOOKUP(AN300,BUDGET_BANDS!$A$2:$C$9,3,FALSE),"")</f>
        <v/>
      </c>
    </row>
    <row r="301">
      <c r="A301" s="5" t="inlineStr">
        <is>
          <t>S. Craig Zahler</t>
        </is>
      </c>
      <c r="B301" s="5" t="inlineStr">
        <is>
          <t>T3</t>
        </is>
      </c>
      <c r="C301" s="5" t="inlineStr">
        <is>
          <t>Established</t>
        </is>
      </c>
      <c r="D301" s="5" t="inlineStr">
        <is>
          <t>US/Intl</t>
        </is>
      </c>
      <c r="E301" s="5" t="inlineStr">
        <is>
          <t>Thriller/Mystery</t>
        </is>
      </c>
      <c r="F301" s="5" t="inlineStr">
        <is>
          <t>Crime/Heist,Drama</t>
        </is>
      </c>
      <c r="G301" s="5" t="inlineStr">
        <is>
          <t>Low/Mid</t>
        </is>
      </c>
      <c r="H301" s="5" t="inlineStr">
        <is>
          <t>tense, grounded</t>
        </is>
      </c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>
        <is>
          <t>Seeded</t>
        </is>
      </c>
      <c r="S301" s="5" t="inlineStr">
        <is>
          <t>2026-01-29</t>
        </is>
      </c>
      <c r="T301" s="5" t="inlineStr">
        <is>
          <t>https://en.wikipedia.org/w/index.php?search=S.+Craig+Zahler</t>
        </is>
      </c>
      <c r="U301" s="5" t="inlineStr">
        <is>
          <t>https://www.imdb.com/find/?q=S.+Craig+Zahler&amp;s=nm</t>
        </is>
      </c>
      <c r="AO301" s="19">
        <f>IFERROR(VLOOKUP(AN301,BUDGET_BANDS!$A$2:$C$9,2,FALSE),"")</f>
        <v/>
      </c>
      <c r="AP301" s="19">
        <f>IFERROR(VLOOKUP(AN301,BUDGET_BANDS!$A$2:$C$9,3,FALSE),"")</f>
        <v/>
      </c>
    </row>
    <row r="302">
      <c r="A302" s="5" t="inlineStr">
        <is>
          <t>Sam Hargrave</t>
        </is>
      </c>
      <c r="B302" s="5" t="inlineStr">
        <is>
          <t>T3</t>
        </is>
      </c>
      <c r="C302" s="5" t="inlineStr">
        <is>
          <t>Established (high output)</t>
        </is>
      </c>
      <c r="D302" s="5" t="inlineStr">
        <is>
          <t>US/Intl</t>
        </is>
      </c>
      <c r="E302" s="5" t="inlineStr">
        <is>
          <t>Action</t>
        </is>
      </c>
      <c r="F302" s="5" t="inlineStr">
        <is>
          <t>Thriller/Mystery</t>
        </is>
      </c>
      <c r="G302" s="5" t="inlineStr">
        <is>
          <t>Mid/Studio</t>
        </is>
      </c>
      <c r="H302" s="5" t="inlineStr">
        <is>
          <t>efficient, propulsive</t>
        </is>
      </c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>
        <is>
          <t>Seeded</t>
        </is>
      </c>
      <c r="S302" s="5" t="inlineStr">
        <is>
          <t>2026-01-29</t>
        </is>
      </c>
      <c r="T302" s="5" t="inlineStr">
        <is>
          <t>https://en.wikipedia.org/w/index.php?search=Sam+Hargrave</t>
        </is>
      </c>
      <c r="U302" s="5" t="inlineStr">
        <is>
          <t>https://www.imdb.com/find/?q=Sam+Hargrave&amp;s=nm</t>
        </is>
      </c>
      <c r="AO302" s="19">
        <f>IFERROR(VLOOKUP(AN302,BUDGET_BANDS!$A$2:$C$9,2,FALSE),"")</f>
        <v/>
      </c>
      <c r="AP302" s="19">
        <f>IFERROR(VLOOKUP(AN302,BUDGET_BANDS!$A$2:$C$9,3,FALSE),"")</f>
        <v/>
      </c>
    </row>
    <row r="303">
      <c r="A303" s="5" t="inlineStr">
        <is>
          <t>Sam Taylor-Johnson</t>
        </is>
      </c>
      <c r="B303" s="5" t="inlineStr">
        <is>
          <t>T3</t>
        </is>
      </c>
      <c r="C303" s="5" t="inlineStr">
        <is>
          <t>Established</t>
        </is>
      </c>
      <c r="D303" s="5" t="inlineStr">
        <is>
          <t>US/UK</t>
        </is>
      </c>
      <c r="E303" s="5" t="inlineStr">
        <is>
          <t>Drama</t>
        </is>
      </c>
      <c r="F303" s="5" t="inlineStr">
        <is>
          <t>Biopic,Prestige drama</t>
        </is>
      </c>
      <c r="G303" s="5" t="inlineStr">
        <is>
          <t>Mid</t>
        </is>
      </c>
      <c r="H303" s="5" t="inlineStr">
        <is>
          <t>character-forward</t>
        </is>
      </c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>
        <is>
          <t>Seeded</t>
        </is>
      </c>
      <c r="S303" s="5" t="inlineStr">
        <is>
          <t>2026-01-29</t>
        </is>
      </c>
      <c r="T303" s="5" t="inlineStr">
        <is>
          <t>https://en.wikipedia.org/w/index.php?search=Sam+Taylor-Johnson</t>
        </is>
      </c>
      <c r="U303" s="5" t="inlineStr">
        <is>
          <t>https://www.imdb.com/find/?q=Sam+Taylor-Johnson&amp;s=nm</t>
        </is>
      </c>
      <c r="AO303" s="19">
        <f>IFERROR(VLOOKUP(AN303,BUDGET_BANDS!$A$2:$C$9,2,FALSE),"")</f>
        <v/>
      </c>
      <c r="AP303" s="19">
        <f>IFERROR(VLOOKUP(AN303,BUDGET_BANDS!$A$2:$C$9,3,FALSE),"")</f>
        <v/>
      </c>
    </row>
    <row r="304">
      <c r="A304" s="5" t="inlineStr">
        <is>
          <t>Sanaa Hamri</t>
        </is>
      </c>
      <c r="B304" s="5" t="inlineStr">
        <is>
          <t>T3</t>
        </is>
      </c>
      <c r="C304" s="5" t="inlineStr">
        <is>
          <t>Established</t>
        </is>
      </c>
      <c r="D304" s="5" t="inlineStr">
        <is>
          <t>US/Intl</t>
        </is>
      </c>
      <c r="E304" s="5" t="inlineStr">
        <is>
          <t>Musical</t>
        </is>
      </c>
      <c r="F304" s="5" t="inlineStr">
        <is>
          <t>Drama,Comedy</t>
        </is>
      </c>
      <c r="G304" s="5" t="inlineStr">
        <is>
          <t>Mid/Studio</t>
        </is>
      </c>
      <c r="H304" s="5" t="inlineStr">
        <is>
          <t>music-driven</t>
        </is>
      </c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>
        <is>
          <t>Seeded</t>
        </is>
      </c>
      <c r="S304" s="5" t="inlineStr">
        <is>
          <t>2026-01-29</t>
        </is>
      </c>
      <c r="T304" s="5" t="inlineStr">
        <is>
          <t>https://en.wikipedia.org/w/index.php?search=Sanaa+Hamri</t>
        </is>
      </c>
      <c r="U304" s="5" t="inlineStr">
        <is>
          <t>https://www.imdb.com/find/?q=Sanaa+Hamri&amp;s=nm</t>
        </is>
      </c>
      <c r="AO304" s="19">
        <f>IFERROR(VLOOKUP(AN304,BUDGET_BANDS!$A$2:$C$9,2,FALSE),"")</f>
        <v/>
      </c>
      <c r="AP304" s="19">
        <f>IFERROR(VLOOKUP(AN304,BUDGET_BANDS!$A$2:$C$9,3,FALSE),"")</f>
        <v/>
      </c>
    </row>
    <row r="305">
      <c r="A305" s="5" t="inlineStr">
        <is>
          <t>Scott Beck</t>
        </is>
      </c>
      <c r="B305" s="5" t="inlineStr">
        <is>
          <t>T3</t>
        </is>
      </c>
      <c r="C305" s="5" t="inlineStr">
        <is>
          <t>Established (high output)</t>
        </is>
      </c>
      <c r="D305" s="5" t="inlineStr">
        <is>
          <t>US/Intl</t>
        </is>
      </c>
      <c r="E305" s="5" t="inlineStr">
        <is>
          <t>Horror</t>
        </is>
      </c>
      <c r="F305" s="5" t="inlineStr">
        <is>
          <t>Thriller/Mystery</t>
        </is>
      </c>
      <c r="G305" s="5" t="inlineStr">
        <is>
          <t>Low/Mid</t>
        </is>
      </c>
      <c r="H305" s="5" t="inlineStr">
        <is>
          <t>genre-forward</t>
        </is>
      </c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>
        <is>
          <t>Seeded</t>
        </is>
      </c>
      <c r="S305" s="5" t="inlineStr">
        <is>
          <t>2026-01-29</t>
        </is>
      </c>
      <c r="T305" s="5" t="inlineStr">
        <is>
          <t>https://en.wikipedia.org/w/index.php?search=Scott+Beck</t>
        </is>
      </c>
      <c r="U305" s="5" t="inlineStr">
        <is>
          <t>https://www.imdb.com/find/?q=Scott+Beck&amp;s=nm</t>
        </is>
      </c>
      <c r="AO305" s="19">
        <f>IFERROR(VLOOKUP(AN305,BUDGET_BANDS!$A$2:$C$9,2,FALSE),"")</f>
        <v/>
      </c>
      <c r="AP305" s="19">
        <f>IFERROR(VLOOKUP(AN305,BUDGET_BANDS!$A$2:$C$9,3,FALSE),"")</f>
        <v/>
      </c>
    </row>
    <row r="306">
      <c r="A306" s="5" t="inlineStr">
        <is>
          <t>Scott Cooper</t>
        </is>
      </c>
      <c r="B306" s="5" t="inlineStr">
        <is>
          <t>T3</t>
        </is>
      </c>
      <c r="C306" s="5" t="inlineStr">
        <is>
          <t>Established</t>
        </is>
      </c>
      <c r="D306" s="5" t="inlineStr">
        <is>
          <t>US/Intl</t>
        </is>
      </c>
      <c r="E306" s="5" t="inlineStr">
        <is>
          <t>Thriller/Mystery</t>
        </is>
      </c>
      <c r="F306" s="5" t="inlineStr">
        <is>
          <t>Crime/Heist,Drama</t>
        </is>
      </c>
      <c r="G306" s="5" t="inlineStr">
        <is>
          <t>Low/Mid</t>
        </is>
      </c>
      <c r="H306" s="5" t="inlineStr">
        <is>
          <t>tense, grounded</t>
        </is>
      </c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>
        <is>
          <t>Seeded</t>
        </is>
      </c>
      <c r="S306" s="5" t="inlineStr">
        <is>
          <t>2026-01-29</t>
        </is>
      </c>
      <c r="T306" s="5" t="inlineStr">
        <is>
          <t>https://en.wikipedia.org/w/index.php?search=Scott+Cooper</t>
        </is>
      </c>
      <c r="U306" s="5" t="inlineStr">
        <is>
          <t>https://www.imdb.com/find/?q=Scott+Cooper&amp;s=nm</t>
        </is>
      </c>
      <c r="AO306" s="19">
        <f>IFERROR(VLOOKUP(AN306,BUDGET_BANDS!$A$2:$C$9,2,FALSE),"")</f>
        <v/>
      </c>
      <c r="AP306" s="19">
        <f>IFERROR(VLOOKUP(AN306,BUDGET_BANDS!$A$2:$C$9,3,FALSE),"")</f>
        <v/>
      </c>
    </row>
    <row r="307">
      <c r="A307" s="5" t="inlineStr">
        <is>
          <t>Scott Stewart</t>
        </is>
      </c>
      <c r="B307" s="5" t="inlineStr">
        <is>
          <t>T3</t>
        </is>
      </c>
      <c r="C307" s="5" t="inlineStr">
        <is>
          <t>Established (high output)</t>
        </is>
      </c>
      <c r="D307" s="5" t="inlineStr">
        <is>
          <t>US/Intl</t>
        </is>
      </c>
      <c r="E307" s="5" t="inlineStr">
        <is>
          <t>Horror</t>
        </is>
      </c>
      <c r="F307" s="5" t="inlineStr">
        <is>
          <t>Thriller/Mystery</t>
        </is>
      </c>
      <c r="G307" s="5" t="inlineStr">
        <is>
          <t>Low/Mid</t>
        </is>
      </c>
      <c r="H307" s="5" t="inlineStr">
        <is>
          <t>genre-forward</t>
        </is>
      </c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>
        <is>
          <t>Seeded</t>
        </is>
      </c>
      <c r="S307" s="5" t="inlineStr">
        <is>
          <t>2026-01-29</t>
        </is>
      </c>
      <c r="T307" s="5" t="inlineStr">
        <is>
          <t>https://en.wikipedia.org/w/index.php?search=Scott+Stewart</t>
        </is>
      </c>
      <c r="U307" s="5" t="inlineStr">
        <is>
          <t>https://www.imdb.com/find/?q=Scott+Stewart&amp;s=nm</t>
        </is>
      </c>
      <c r="AO307" s="19">
        <f>IFERROR(VLOOKUP(AN307,BUDGET_BANDS!$A$2:$C$9,2,FALSE),"")</f>
        <v/>
      </c>
      <c r="AP307" s="19">
        <f>IFERROR(VLOOKUP(AN307,BUDGET_BANDS!$A$2:$C$9,3,FALSE),"")</f>
        <v/>
      </c>
    </row>
    <row r="308">
      <c r="A308" s="5" t="inlineStr">
        <is>
          <t>Scott Waugh</t>
        </is>
      </c>
      <c r="B308" s="5" t="inlineStr">
        <is>
          <t>T3</t>
        </is>
      </c>
      <c r="C308" s="5" t="inlineStr">
        <is>
          <t>Established (high output)</t>
        </is>
      </c>
      <c r="D308" s="5" t="inlineStr">
        <is>
          <t>US/Intl</t>
        </is>
      </c>
      <c r="E308" s="5" t="inlineStr">
        <is>
          <t>Action</t>
        </is>
      </c>
      <c r="F308" s="5" t="inlineStr">
        <is>
          <t>Thriller/Mystery</t>
        </is>
      </c>
      <c r="G308" s="5" t="inlineStr">
        <is>
          <t>Mid/Studio</t>
        </is>
      </c>
      <c r="H308" s="5" t="inlineStr">
        <is>
          <t>efficient, propulsive</t>
        </is>
      </c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>
        <is>
          <t>Seeded</t>
        </is>
      </c>
      <c r="S308" s="5" t="inlineStr">
        <is>
          <t>2026-01-29</t>
        </is>
      </c>
      <c r="T308" s="5" t="inlineStr">
        <is>
          <t>https://en.wikipedia.org/w/index.php?search=Scott+Waugh</t>
        </is>
      </c>
      <c r="U308" s="5" t="inlineStr">
        <is>
          <t>https://www.imdb.com/find/?q=Scott+Waugh&amp;s=nm</t>
        </is>
      </c>
      <c r="AO308" s="19">
        <f>IFERROR(VLOOKUP(AN308,BUDGET_BANDS!$A$2:$C$9,2,FALSE),"")</f>
        <v/>
      </c>
      <c r="AP308" s="19">
        <f>IFERROR(VLOOKUP(AN308,BUDGET_BANDS!$A$2:$C$9,3,FALSE),"")</f>
        <v/>
      </c>
    </row>
    <row r="309">
      <c r="A309" s="5" t="inlineStr">
        <is>
          <t>Seth Gordon</t>
        </is>
      </c>
      <c r="B309" s="5" t="inlineStr">
        <is>
          <t>T3</t>
        </is>
      </c>
      <c r="C309" s="5" t="inlineStr">
        <is>
          <t>Established (high output)</t>
        </is>
      </c>
      <c r="D309" s="5" t="inlineStr">
        <is>
          <t>US/Intl</t>
        </is>
      </c>
      <c r="E309" s="5" t="inlineStr">
        <is>
          <t>Comedy</t>
        </is>
      </c>
      <c r="F309" s="5" t="inlineStr">
        <is>
          <t>Romantic comedy,Action-comedy</t>
        </is>
      </c>
      <c r="G309" s="5" t="inlineStr">
        <is>
          <t>Low/Mid</t>
        </is>
      </c>
      <c r="H309" s="5" t="inlineStr">
        <is>
          <t>broad, commercial</t>
        </is>
      </c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>
        <is>
          <t>Seeded</t>
        </is>
      </c>
      <c r="S309" s="5" t="inlineStr">
        <is>
          <t>2026-01-29</t>
        </is>
      </c>
      <c r="T309" s="5" t="inlineStr">
        <is>
          <t>https://en.wikipedia.org/w/index.php?search=Seth+Gordon</t>
        </is>
      </c>
      <c r="U309" s="5" t="inlineStr">
        <is>
          <t>https://www.imdb.com/find/?q=Seth+Gordon&amp;s=nm</t>
        </is>
      </c>
      <c r="AO309" s="19">
        <f>IFERROR(VLOOKUP(AN309,BUDGET_BANDS!$A$2:$C$9,2,FALSE),"")</f>
        <v/>
      </c>
      <c r="AP309" s="19">
        <f>IFERROR(VLOOKUP(AN309,BUDGET_BANDS!$A$2:$C$9,3,FALSE),"")</f>
        <v/>
      </c>
    </row>
    <row r="310">
      <c r="A310" s="5" t="inlineStr">
        <is>
          <t>Severin Fiala</t>
        </is>
      </c>
      <c r="B310" s="5" t="inlineStr">
        <is>
          <t>T3</t>
        </is>
      </c>
      <c r="C310" s="5" t="inlineStr">
        <is>
          <t>Established</t>
        </is>
      </c>
      <c r="D310" s="5" t="inlineStr">
        <is>
          <t>US/Intl</t>
        </is>
      </c>
      <c r="E310" s="5" t="inlineStr">
        <is>
          <t>Horror</t>
        </is>
      </c>
      <c r="F310" s="5" t="inlineStr">
        <is>
          <t>Thriller/Mystery</t>
        </is>
      </c>
      <c r="G310" s="5" t="inlineStr">
        <is>
          <t>Low/Mid</t>
        </is>
      </c>
      <c r="H310" s="5" t="inlineStr">
        <is>
          <t>genre-forward</t>
        </is>
      </c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>
        <is>
          <t>Seeded</t>
        </is>
      </c>
      <c r="S310" s="5" t="inlineStr">
        <is>
          <t>2026-01-29</t>
        </is>
      </c>
      <c r="T310" s="5" t="inlineStr">
        <is>
          <t>https://en.wikipedia.org/w/index.php?search=Severin+Fiala</t>
        </is>
      </c>
      <c r="U310" s="5" t="inlineStr">
        <is>
          <t>https://www.imdb.com/find/?q=Severin+Fiala&amp;s=nm</t>
        </is>
      </c>
      <c r="AO310" s="19">
        <f>IFERROR(VLOOKUP(AN310,BUDGET_BANDS!$A$2:$C$9,2,FALSE),"")</f>
        <v/>
      </c>
      <c r="AP310" s="19">
        <f>IFERROR(VLOOKUP(AN310,BUDGET_BANDS!$A$2:$C$9,3,FALSE),"")</f>
        <v/>
      </c>
    </row>
    <row r="311">
      <c r="A311" s="5" t="inlineStr">
        <is>
          <t>Simon West</t>
        </is>
      </c>
      <c r="B311" s="5" t="inlineStr">
        <is>
          <t>T3</t>
        </is>
      </c>
      <c r="C311" s="5" t="inlineStr">
        <is>
          <t>Established (high output)</t>
        </is>
      </c>
      <c r="D311" s="5" t="inlineStr">
        <is>
          <t>US/Intl</t>
        </is>
      </c>
      <c r="E311" s="5" t="inlineStr">
        <is>
          <t>Action</t>
        </is>
      </c>
      <c r="F311" s="5" t="inlineStr">
        <is>
          <t>Thriller/Mystery</t>
        </is>
      </c>
      <c r="G311" s="5" t="inlineStr">
        <is>
          <t>Mid/Studio</t>
        </is>
      </c>
      <c r="H311" s="5" t="inlineStr">
        <is>
          <t>efficient, propulsive</t>
        </is>
      </c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>
        <is>
          <t>Seeded</t>
        </is>
      </c>
      <c r="S311" s="5" t="inlineStr">
        <is>
          <t>2026-01-29</t>
        </is>
      </c>
      <c r="T311" s="5" t="inlineStr">
        <is>
          <t>https://en.wikipedia.org/w/index.php?search=Simon+West</t>
        </is>
      </c>
      <c r="U311" s="5" t="inlineStr">
        <is>
          <t>https://www.imdb.com/find/?q=Simon+West&amp;s=nm</t>
        </is>
      </c>
      <c r="AO311" s="19">
        <f>IFERROR(VLOOKUP(AN311,BUDGET_BANDS!$A$2:$C$9,2,FALSE),"")</f>
        <v/>
      </c>
      <c r="AP311" s="19">
        <f>IFERROR(VLOOKUP(AN311,BUDGET_BANDS!$A$2:$C$9,3,FALSE),"")</f>
        <v/>
      </c>
    </row>
    <row r="312">
      <c r="A312" s="5" t="inlineStr">
        <is>
          <t>Stephen Sommers</t>
        </is>
      </c>
      <c r="B312" s="5" t="inlineStr">
        <is>
          <t>T3</t>
        </is>
      </c>
      <c r="C312" s="5" t="inlineStr">
        <is>
          <t>Established (high output)</t>
        </is>
      </c>
      <c r="D312" s="5" t="inlineStr">
        <is>
          <t>US/Intl</t>
        </is>
      </c>
      <c r="E312" s="5" t="inlineStr">
        <is>
          <t>Horror</t>
        </is>
      </c>
      <c r="F312" s="5" t="inlineStr">
        <is>
          <t>Thriller/Mystery</t>
        </is>
      </c>
      <c r="G312" s="5" t="inlineStr">
        <is>
          <t>Low/Mid</t>
        </is>
      </c>
      <c r="H312" s="5" t="inlineStr">
        <is>
          <t>genre-forward</t>
        </is>
      </c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>
        <is>
          <t>Seeded</t>
        </is>
      </c>
      <c r="S312" s="5" t="inlineStr">
        <is>
          <t>2026-01-29</t>
        </is>
      </c>
      <c r="T312" s="5" t="inlineStr">
        <is>
          <t>https://en.wikipedia.org/w/index.php?search=Stephen+Sommers</t>
        </is>
      </c>
      <c r="U312" s="5" t="inlineStr">
        <is>
          <t>https://www.imdb.com/find/?q=Stephen+Sommers&amp;s=nm</t>
        </is>
      </c>
      <c r="AO312" s="19">
        <f>IFERROR(VLOOKUP(AN312,BUDGET_BANDS!$A$2:$C$9,2,FALSE),"")</f>
        <v/>
      </c>
      <c r="AP312" s="19">
        <f>IFERROR(VLOOKUP(AN312,BUDGET_BANDS!$A$2:$C$9,3,FALSE),"")</f>
        <v/>
      </c>
    </row>
    <row r="313">
      <c r="A313" s="5" t="inlineStr">
        <is>
          <t>Susanna Fogel</t>
        </is>
      </c>
      <c r="B313" s="5" t="inlineStr">
        <is>
          <t>T3</t>
        </is>
      </c>
      <c r="C313" s="5" t="inlineStr">
        <is>
          <t>Established (high output)</t>
        </is>
      </c>
      <c r="D313" s="5" t="inlineStr">
        <is>
          <t>US/Intl</t>
        </is>
      </c>
      <c r="E313" s="5" t="inlineStr">
        <is>
          <t>Comedy</t>
        </is>
      </c>
      <c r="F313" s="5" t="inlineStr">
        <is>
          <t>Romantic comedy,Action-comedy</t>
        </is>
      </c>
      <c r="G313" s="5" t="inlineStr">
        <is>
          <t>Low/Mid</t>
        </is>
      </c>
      <c r="H313" s="5" t="inlineStr">
        <is>
          <t>broad, commercial</t>
        </is>
      </c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>
        <is>
          <t>Seeded</t>
        </is>
      </c>
      <c r="S313" s="5" t="inlineStr">
        <is>
          <t>2026-01-29</t>
        </is>
      </c>
      <c r="T313" s="5" t="inlineStr">
        <is>
          <t>https://en.wikipedia.org/w/index.php?search=Susanna+Fogel</t>
        </is>
      </c>
      <c r="U313" s="5" t="inlineStr">
        <is>
          <t>https://www.imdb.com/find/?q=Susanna+Fogel&amp;s=nm</t>
        </is>
      </c>
      <c r="AO313" s="19">
        <f>IFERROR(VLOOKUP(AN313,BUDGET_BANDS!$A$2:$C$9,2,FALSE),"")</f>
        <v/>
      </c>
      <c r="AP313" s="19">
        <f>IFERROR(VLOOKUP(AN313,BUDGET_BANDS!$A$2:$C$9,3,FALSE),"")</f>
        <v/>
      </c>
    </row>
    <row r="314">
      <c r="A314" s="5" t="inlineStr">
        <is>
          <t>Tamra Davis</t>
        </is>
      </c>
      <c r="B314" s="5" t="inlineStr">
        <is>
          <t>T3</t>
        </is>
      </c>
      <c r="C314" s="5" t="inlineStr">
        <is>
          <t>Established (high output)</t>
        </is>
      </c>
      <c r="D314" s="5" t="inlineStr">
        <is>
          <t>US/Intl</t>
        </is>
      </c>
      <c r="E314" s="5" t="inlineStr">
        <is>
          <t>Comedy</t>
        </is>
      </c>
      <c r="F314" s="5" t="inlineStr">
        <is>
          <t>Romantic comedy,Action-comedy</t>
        </is>
      </c>
      <c r="G314" s="5" t="inlineStr">
        <is>
          <t>Low/Mid</t>
        </is>
      </c>
      <c r="H314" s="5" t="inlineStr">
        <is>
          <t>broad, commercial</t>
        </is>
      </c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>
        <is>
          <t>Seeded</t>
        </is>
      </c>
      <c r="S314" s="5" t="inlineStr">
        <is>
          <t>2026-01-29</t>
        </is>
      </c>
      <c r="T314" s="5" t="inlineStr">
        <is>
          <t>https://en.wikipedia.org/w/index.php?search=Tamra+Davis</t>
        </is>
      </c>
      <c r="U314" s="5" t="inlineStr">
        <is>
          <t>https://www.imdb.com/find/?q=Tamra+Davis&amp;s=nm</t>
        </is>
      </c>
      <c r="AO314" s="19">
        <f>IFERROR(VLOOKUP(AN314,BUDGET_BANDS!$A$2:$C$9,2,FALSE),"")</f>
        <v/>
      </c>
      <c r="AP314" s="19">
        <f>IFERROR(VLOOKUP(AN314,BUDGET_BANDS!$A$2:$C$9,3,FALSE),"")</f>
        <v/>
      </c>
    </row>
    <row r="315">
      <c r="A315" s="5" t="inlineStr">
        <is>
          <t>Taylor Sheridan</t>
        </is>
      </c>
      <c r="B315" s="5" t="inlineStr">
        <is>
          <t>T3</t>
        </is>
      </c>
      <c r="C315" s="5" t="inlineStr">
        <is>
          <t>Established</t>
        </is>
      </c>
      <c r="D315" s="5" t="inlineStr">
        <is>
          <t>US/Intl</t>
        </is>
      </c>
      <c r="E315" s="5" t="inlineStr">
        <is>
          <t>Thriller/Mystery</t>
        </is>
      </c>
      <c r="F315" s="5" t="inlineStr">
        <is>
          <t>Crime/Heist,Drama</t>
        </is>
      </c>
      <c r="G315" s="5" t="inlineStr">
        <is>
          <t>Low/Mid</t>
        </is>
      </c>
      <c r="H315" s="5" t="inlineStr">
        <is>
          <t>tense, grounded</t>
        </is>
      </c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>
        <is>
          <t>Seeded</t>
        </is>
      </c>
      <c r="S315" s="5" t="inlineStr">
        <is>
          <t>2026-01-29</t>
        </is>
      </c>
      <c r="T315" s="5" t="inlineStr">
        <is>
          <t>https://en.wikipedia.org/w/index.php?search=Taylor+Sheridan</t>
        </is>
      </c>
      <c r="U315" s="5" t="inlineStr">
        <is>
          <t>https://www.imdb.com/find/?q=Taylor+Sheridan&amp;s=nm</t>
        </is>
      </c>
      <c r="AO315" s="19">
        <f>IFERROR(VLOOKUP(AN315,BUDGET_BANDS!$A$2:$C$9,2,FALSE),"")</f>
        <v/>
      </c>
      <c r="AP315" s="19">
        <f>IFERROR(VLOOKUP(AN315,BUDGET_BANDS!$A$2:$C$9,3,FALSE),"")</f>
        <v/>
      </c>
    </row>
    <row r="316">
      <c r="A316" s="5" t="inlineStr">
        <is>
          <t>Thea Sharrock</t>
        </is>
      </c>
      <c r="B316" s="5" t="inlineStr">
        <is>
          <t>T3</t>
        </is>
      </c>
      <c r="C316" s="5" t="inlineStr">
        <is>
          <t>Established</t>
        </is>
      </c>
      <c r="D316" s="5" t="inlineStr">
        <is>
          <t>US/UK</t>
        </is>
      </c>
      <c r="E316" s="5" t="inlineStr">
        <is>
          <t>Romantic comedy</t>
        </is>
      </c>
      <c r="F316" s="5" t="inlineStr">
        <is>
          <t>Comedy,Drama</t>
        </is>
      </c>
      <c r="G316" s="5" t="inlineStr">
        <is>
          <t>Mid/Studio</t>
        </is>
      </c>
      <c r="H316" s="5" t="inlineStr">
        <is>
          <t>warm, commercial</t>
        </is>
      </c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>
        <is>
          <t>Seeded</t>
        </is>
      </c>
      <c r="S316" s="5" t="inlineStr">
        <is>
          <t>2026-01-29</t>
        </is>
      </c>
      <c r="T316" s="5" t="inlineStr">
        <is>
          <t>https://en.wikipedia.org/w/index.php?search=Thea+Sharrock</t>
        </is>
      </c>
      <c r="U316" s="5" t="inlineStr">
        <is>
          <t>https://www.imdb.com/find/?q=Thea+Sharrock&amp;s=nm</t>
        </is>
      </c>
      <c r="AO316" s="19">
        <f>IFERROR(VLOOKUP(AN316,BUDGET_BANDS!$A$2:$C$9,2,FALSE),"")</f>
        <v/>
      </c>
      <c r="AP316" s="19">
        <f>IFERROR(VLOOKUP(AN316,BUDGET_BANDS!$A$2:$C$9,3,FALSE),"")</f>
        <v/>
      </c>
    </row>
    <row r="317">
      <c r="A317" s="5" t="inlineStr">
        <is>
          <t>Theodore Melfi</t>
        </is>
      </c>
      <c r="B317" s="5" t="inlineStr">
        <is>
          <t>T3</t>
        </is>
      </c>
      <c r="C317" s="5" t="inlineStr">
        <is>
          <t>Established (high output)</t>
        </is>
      </c>
      <c r="D317" s="5" t="inlineStr">
        <is>
          <t>US/Intl</t>
        </is>
      </c>
      <c r="E317" s="5" t="inlineStr">
        <is>
          <t>Comedy</t>
        </is>
      </c>
      <c r="F317" s="5" t="inlineStr">
        <is>
          <t>Romantic comedy,Action-comedy</t>
        </is>
      </c>
      <c r="G317" s="5" t="inlineStr">
        <is>
          <t>Low/Mid</t>
        </is>
      </c>
      <c r="H317" s="5" t="inlineStr">
        <is>
          <t>broad, commercial</t>
        </is>
      </c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>
        <is>
          <t>Seeded</t>
        </is>
      </c>
      <c r="S317" s="5" t="inlineStr">
        <is>
          <t>2026-01-29</t>
        </is>
      </c>
      <c r="T317" s="5" t="inlineStr">
        <is>
          <t>https://en.wikipedia.org/w/index.php?search=Theodore+Melfi</t>
        </is>
      </c>
      <c r="U317" s="5" t="inlineStr">
        <is>
          <t>https://www.imdb.com/find/?q=Theodore+Melfi&amp;s=nm</t>
        </is>
      </c>
      <c r="AO317" s="19">
        <f>IFERROR(VLOOKUP(AN317,BUDGET_BANDS!$A$2:$C$9,2,FALSE),"")</f>
        <v/>
      </c>
      <c r="AP317" s="19">
        <f>IFERROR(VLOOKUP(AN317,BUDGET_BANDS!$A$2:$C$9,3,FALSE),"")</f>
        <v/>
      </c>
    </row>
    <row r="318">
      <c r="A318" s="5" t="inlineStr">
        <is>
          <t>Tim Story</t>
        </is>
      </c>
      <c r="B318" s="5" t="inlineStr">
        <is>
          <t>T3</t>
        </is>
      </c>
      <c r="C318" s="5" t="inlineStr">
        <is>
          <t>Established (high output)</t>
        </is>
      </c>
      <c r="D318" s="5" t="inlineStr">
        <is>
          <t>US/Intl</t>
        </is>
      </c>
      <c r="E318" s="5" t="inlineStr">
        <is>
          <t>Comedy</t>
        </is>
      </c>
      <c r="F318" s="5" t="inlineStr">
        <is>
          <t>Romantic comedy,Action-comedy</t>
        </is>
      </c>
      <c r="G318" s="5" t="inlineStr">
        <is>
          <t>Low/Mid</t>
        </is>
      </c>
      <c r="H318" s="5" t="inlineStr">
        <is>
          <t>broad, commercial</t>
        </is>
      </c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>
        <is>
          <t>Seeded</t>
        </is>
      </c>
      <c r="S318" s="5" t="inlineStr">
        <is>
          <t>2026-01-29</t>
        </is>
      </c>
      <c r="T318" s="5" t="inlineStr">
        <is>
          <t>https://en.wikipedia.org/w/index.php?search=Tim+Story</t>
        </is>
      </c>
      <c r="U318" s="5" t="inlineStr">
        <is>
          <t>https://www.imdb.com/find/?q=Tim+Story&amp;s=nm</t>
        </is>
      </c>
      <c r="AO318" s="19">
        <f>IFERROR(VLOOKUP(AN318,BUDGET_BANDS!$A$2:$C$9,2,FALSE),"")</f>
        <v/>
      </c>
      <c r="AP318" s="19">
        <f>IFERROR(VLOOKUP(AN318,BUDGET_BANDS!$A$2:$C$9,3,FALSE),"")</f>
        <v/>
      </c>
    </row>
    <row r="319">
      <c r="A319" s="5" t="inlineStr">
        <is>
          <t>Timur Bekmambetov</t>
        </is>
      </c>
      <c r="B319" s="5" t="inlineStr">
        <is>
          <t>T3</t>
        </is>
      </c>
      <c r="C319" s="5" t="inlineStr">
        <is>
          <t>Established (high output)</t>
        </is>
      </c>
      <c r="D319" s="5" t="inlineStr">
        <is>
          <t>US/Intl</t>
        </is>
      </c>
      <c r="E319" s="5" t="inlineStr">
        <is>
          <t>Action</t>
        </is>
      </c>
      <c r="F319" s="5" t="inlineStr">
        <is>
          <t>Thriller/Mystery</t>
        </is>
      </c>
      <c r="G319" s="5" t="inlineStr">
        <is>
          <t>Mid/Studio</t>
        </is>
      </c>
      <c r="H319" s="5" t="inlineStr">
        <is>
          <t>efficient, propulsive</t>
        </is>
      </c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>
        <is>
          <t>Seeded</t>
        </is>
      </c>
      <c r="S319" s="5" t="inlineStr">
        <is>
          <t>2026-01-29</t>
        </is>
      </c>
      <c r="T319" s="5" t="inlineStr">
        <is>
          <t>https://en.wikipedia.org/w/index.php?search=Timur+Bekmambetov</t>
        </is>
      </c>
      <c r="U319" s="5" t="inlineStr">
        <is>
          <t>https://www.imdb.com/find/?q=Timur+Bekmambetov&amp;s=nm</t>
        </is>
      </c>
      <c r="AO319" s="19">
        <f>IFERROR(VLOOKUP(AN319,BUDGET_BANDS!$A$2:$C$9,2,FALSE),"")</f>
        <v/>
      </c>
      <c r="AP319" s="19">
        <f>IFERROR(VLOOKUP(AN319,BUDGET_BANDS!$A$2:$C$9,3,FALSE),"")</f>
        <v/>
      </c>
    </row>
    <row r="320">
      <c r="A320" s="5" t="inlineStr">
        <is>
          <t>Tom Gormican</t>
        </is>
      </c>
      <c r="B320" s="5" t="inlineStr">
        <is>
          <t>T3</t>
        </is>
      </c>
      <c r="C320" s="5" t="inlineStr">
        <is>
          <t>Established</t>
        </is>
      </c>
      <c r="D320" s="5" t="inlineStr">
        <is>
          <t>US/UK</t>
        </is>
      </c>
      <c r="E320" s="5" t="inlineStr">
        <is>
          <t>Romantic comedy</t>
        </is>
      </c>
      <c r="F320" s="5" t="inlineStr">
        <is>
          <t>Comedy,Drama</t>
        </is>
      </c>
      <c r="G320" s="5" t="inlineStr">
        <is>
          <t>Mid/Studio</t>
        </is>
      </c>
      <c r="H320" s="5" t="inlineStr">
        <is>
          <t>warm, commercial</t>
        </is>
      </c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>
        <is>
          <t>Seeded</t>
        </is>
      </c>
      <c r="S320" s="5" t="inlineStr">
        <is>
          <t>2026-01-29</t>
        </is>
      </c>
      <c r="T320" s="5" t="inlineStr">
        <is>
          <t>https://en.wikipedia.org/w/index.php?search=Tom+Gormican</t>
        </is>
      </c>
      <c r="U320" s="5" t="inlineStr">
        <is>
          <t>https://www.imdb.com/find/?q=Tom+Gormican&amp;s=nm</t>
        </is>
      </c>
      <c r="AO320" s="19">
        <f>IFERROR(VLOOKUP(AN320,BUDGET_BANDS!$A$2:$C$9,2,FALSE),"")</f>
        <v/>
      </c>
      <c r="AP320" s="19">
        <f>IFERROR(VLOOKUP(AN320,BUDGET_BANDS!$A$2:$C$9,3,FALSE),"")</f>
        <v/>
      </c>
    </row>
    <row r="321">
      <c r="A321" s="5" t="inlineStr">
        <is>
          <t>Tom Hooper</t>
        </is>
      </c>
      <c r="B321" s="5" t="inlineStr">
        <is>
          <t>T3</t>
        </is>
      </c>
      <c r="C321" s="5" t="inlineStr">
        <is>
          <t>Established</t>
        </is>
      </c>
      <c r="D321" s="5" t="inlineStr">
        <is>
          <t>US/UK</t>
        </is>
      </c>
      <c r="E321" s="5" t="inlineStr">
        <is>
          <t>Drama</t>
        </is>
      </c>
      <c r="F321" s="5" t="inlineStr">
        <is>
          <t>Biopic,Prestige drama</t>
        </is>
      </c>
      <c r="G321" s="5" t="inlineStr">
        <is>
          <t>Mid</t>
        </is>
      </c>
      <c r="H321" s="5" t="inlineStr">
        <is>
          <t>character-forward</t>
        </is>
      </c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>
        <is>
          <t>Seeded</t>
        </is>
      </c>
      <c r="S321" s="5" t="inlineStr">
        <is>
          <t>2026-01-29</t>
        </is>
      </c>
      <c r="T321" s="5" t="inlineStr">
        <is>
          <t>https://en.wikipedia.org/w/index.php?search=Tom+Hooper</t>
        </is>
      </c>
      <c r="U321" s="5" t="inlineStr">
        <is>
          <t>https://www.imdb.com/find/?q=Tom+Hooper&amp;s=nm</t>
        </is>
      </c>
      <c r="AO321" s="19">
        <f>IFERROR(VLOOKUP(AN321,BUDGET_BANDS!$A$2:$C$9,2,FALSE),"")</f>
        <v/>
      </c>
      <c r="AP321" s="19">
        <f>IFERROR(VLOOKUP(AN321,BUDGET_BANDS!$A$2:$C$9,3,FALSE),"")</f>
        <v/>
      </c>
    </row>
    <row r="322">
      <c r="A322" s="5" t="inlineStr">
        <is>
          <t>Veronika Franz</t>
        </is>
      </c>
      <c r="B322" s="5" t="inlineStr">
        <is>
          <t>T3</t>
        </is>
      </c>
      <c r="C322" s="5" t="inlineStr">
        <is>
          <t>Established</t>
        </is>
      </c>
      <c r="D322" s="5" t="inlineStr">
        <is>
          <t>US/Intl</t>
        </is>
      </c>
      <c r="E322" s="5" t="inlineStr">
        <is>
          <t>Horror</t>
        </is>
      </c>
      <c r="F322" s="5" t="inlineStr">
        <is>
          <t>Thriller/Mystery</t>
        </is>
      </c>
      <c r="G322" s="5" t="inlineStr">
        <is>
          <t>Low/Mid</t>
        </is>
      </c>
      <c r="H322" s="5" t="inlineStr">
        <is>
          <t>genre-forward</t>
        </is>
      </c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>
        <is>
          <t>Seeded</t>
        </is>
      </c>
      <c r="S322" s="5" t="inlineStr">
        <is>
          <t>2026-01-29</t>
        </is>
      </c>
      <c r="T322" s="5" t="inlineStr">
        <is>
          <t>https://en.wikipedia.org/w/index.php?search=Veronika+Franz</t>
        </is>
      </c>
      <c r="U322" s="5" t="inlineStr">
        <is>
          <t>https://www.imdb.com/find/?q=Veronika+Franz&amp;s=nm</t>
        </is>
      </c>
      <c r="AO322" s="19">
        <f>IFERROR(VLOOKUP(AN322,BUDGET_BANDS!$A$2:$C$9,2,FALSE),"")</f>
        <v/>
      </c>
      <c r="AP322" s="19">
        <f>IFERROR(VLOOKUP(AN322,BUDGET_BANDS!$A$2:$C$9,3,FALSE),"")</f>
        <v/>
      </c>
    </row>
    <row r="323">
      <c r="A323" s="5" t="inlineStr">
        <is>
          <t>William Brent Bell</t>
        </is>
      </c>
      <c r="B323" s="5" t="inlineStr">
        <is>
          <t>T3</t>
        </is>
      </c>
      <c r="C323" s="5" t="inlineStr">
        <is>
          <t>Established (high output)</t>
        </is>
      </c>
      <c r="D323" s="5" t="inlineStr">
        <is>
          <t>US/Intl</t>
        </is>
      </c>
      <c r="E323" s="5" t="inlineStr">
        <is>
          <t>Horror</t>
        </is>
      </c>
      <c r="F323" s="5" t="inlineStr">
        <is>
          <t>Thriller/Mystery</t>
        </is>
      </c>
      <c r="G323" s="5" t="inlineStr">
        <is>
          <t>Low/Mid</t>
        </is>
      </c>
      <c r="H323" s="5" t="inlineStr">
        <is>
          <t>genre-forward</t>
        </is>
      </c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>
        <is>
          <t>Seeded</t>
        </is>
      </c>
      <c r="S323" s="5" t="inlineStr">
        <is>
          <t>2026-01-29</t>
        </is>
      </c>
      <c r="T323" s="5" t="inlineStr">
        <is>
          <t>https://en.wikipedia.org/w/index.php?search=William+Brent+Bell</t>
        </is>
      </c>
      <c r="U323" s="5" t="inlineStr">
        <is>
          <t>https://www.imdb.com/find/?q=William+Brent+Bell&amp;s=nm</t>
        </is>
      </c>
      <c r="AO323" s="19">
        <f>IFERROR(VLOOKUP(AN323,BUDGET_BANDS!$A$2:$C$9,2,FALSE),"")</f>
        <v/>
      </c>
      <c r="AP323" s="19">
        <f>IFERROR(VLOOKUP(AN323,BUDGET_BANDS!$A$2:$C$9,3,FALSE),"")</f>
        <v/>
      </c>
    </row>
    <row r="324">
      <c r="A324" s="5" t="inlineStr">
        <is>
          <t>Alice Rohrwacher</t>
        </is>
      </c>
      <c r="B324" s="5" t="inlineStr">
        <is>
          <t>T4</t>
        </is>
      </c>
      <c r="C324" s="5" t="inlineStr">
        <is>
          <t>Selective</t>
        </is>
      </c>
      <c r="D324" s="5" t="inlineStr">
        <is>
          <t>Intl/US</t>
        </is>
      </c>
      <c r="E324" s="5" t="inlineStr">
        <is>
          <t>Prestige drama</t>
        </is>
      </c>
      <c r="F324" s="5" t="inlineStr">
        <is>
          <t>Drama</t>
        </is>
      </c>
      <c r="G324" s="5" t="inlineStr">
        <is>
          <t>Low/Mid</t>
        </is>
      </c>
      <c r="H324" s="5" t="inlineStr">
        <is>
          <t>auteur, intimate</t>
        </is>
      </c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>
        <is>
          <t>Seeded</t>
        </is>
      </c>
      <c r="S324" s="5" t="inlineStr">
        <is>
          <t>2026-01-29</t>
        </is>
      </c>
      <c r="T324" s="5" t="inlineStr">
        <is>
          <t>https://en.wikipedia.org/w/index.php?search=Alice+Rohrwacher</t>
        </is>
      </c>
      <c r="U324" s="5" t="inlineStr">
        <is>
          <t>https://www.imdb.com/find/?q=Alice+Rohrwacher&amp;s=nm</t>
        </is>
      </c>
      <c r="AO324" s="19">
        <f>IFERROR(VLOOKUP(AN324,BUDGET_BANDS!$A$2:$C$9,2,FALSE),"")</f>
        <v/>
      </c>
      <c r="AP324" s="19">
        <f>IFERROR(VLOOKUP(AN324,BUDGET_BANDS!$A$2:$C$9,3,FALSE),"")</f>
        <v/>
      </c>
    </row>
    <row r="325">
      <c r="A325" s="5" t="inlineStr">
        <is>
          <t>Ana Lily Amirpour</t>
        </is>
      </c>
      <c r="B325" s="5" t="inlineStr">
        <is>
          <t>T4</t>
        </is>
      </c>
      <c r="C325" s="5" t="inlineStr">
        <is>
          <t>Selective</t>
        </is>
      </c>
      <c r="D325" s="5" t="inlineStr">
        <is>
          <t>Intl/US</t>
        </is>
      </c>
      <c r="E325" s="5" t="inlineStr">
        <is>
          <t>Horror</t>
        </is>
      </c>
      <c r="F325" s="5" t="inlineStr">
        <is>
          <t>Thriller/Mystery,Prestige drama</t>
        </is>
      </c>
      <c r="G325" s="5" t="inlineStr">
        <is>
          <t>Low/Mid</t>
        </is>
      </c>
      <c r="H325" s="5" t="inlineStr">
        <is>
          <t>bold, auteur</t>
        </is>
      </c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>
        <is>
          <t>Seeded</t>
        </is>
      </c>
      <c r="S325" s="5" t="inlineStr">
        <is>
          <t>2026-01-29</t>
        </is>
      </c>
      <c r="T325" s="5" t="inlineStr">
        <is>
          <t>https://en.wikipedia.org/w/index.php?search=Ana+Lily+Amirpour</t>
        </is>
      </c>
      <c r="U325" s="5" t="inlineStr">
        <is>
          <t>https://www.imdb.com/find/?q=Ana+Lily+Amirpour&amp;s=nm</t>
        </is>
      </c>
      <c r="AO325" s="19">
        <f>IFERROR(VLOOKUP(AN325,BUDGET_BANDS!$A$2:$C$9,2,FALSE),"")</f>
        <v/>
      </c>
      <c r="AP325" s="19">
        <f>IFERROR(VLOOKUP(AN325,BUDGET_BANDS!$A$2:$C$9,3,FALSE),"")</f>
        <v/>
      </c>
    </row>
    <row r="326">
      <c r="A326" s="5" t="inlineStr">
        <is>
          <t>Andrea Arnold</t>
        </is>
      </c>
      <c r="B326" s="5" t="inlineStr">
        <is>
          <t>T4</t>
        </is>
      </c>
      <c r="C326" s="5" t="inlineStr">
        <is>
          <t>Selective</t>
        </is>
      </c>
      <c r="D326" s="5" t="inlineStr">
        <is>
          <t>Intl/US</t>
        </is>
      </c>
      <c r="E326" s="5" t="inlineStr">
        <is>
          <t>Prestige drama</t>
        </is>
      </c>
      <c r="F326" s="5" t="inlineStr">
        <is>
          <t>Drama</t>
        </is>
      </c>
      <c r="G326" s="5" t="inlineStr">
        <is>
          <t>Low/Mid</t>
        </is>
      </c>
      <c r="H326" s="5" t="inlineStr">
        <is>
          <t>auteur, intimate</t>
        </is>
      </c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>
        <is>
          <t>Seeded</t>
        </is>
      </c>
      <c r="S326" s="5" t="inlineStr">
        <is>
          <t>2026-01-29</t>
        </is>
      </c>
      <c r="T326" s="5" t="inlineStr">
        <is>
          <t>https://en.wikipedia.org/w/index.php?search=Andrea+Arnold</t>
        </is>
      </c>
      <c r="U326" s="5" t="inlineStr">
        <is>
          <t>https://www.imdb.com/find/?q=Andrea+Arnold&amp;s=nm</t>
        </is>
      </c>
      <c r="AO326" s="19">
        <f>IFERROR(VLOOKUP(AN326,BUDGET_BANDS!$A$2:$C$9,2,FALSE),"")</f>
        <v/>
      </c>
      <c r="AP326" s="19">
        <f>IFERROR(VLOOKUP(AN326,BUDGET_BANDS!$A$2:$C$9,3,FALSE),"")</f>
        <v/>
      </c>
    </row>
    <row r="327">
      <c r="A327" s="5" t="inlineStr">
        <is>
          <t>Apichatpong Weerasethakul</t>
        </is>
      </c>
      <c r="B327" s="5" t="inlineStr">
        <is>
          <t>T4</t>
        </is>
      </c>
      <c r="C327" s="5" t="inlineStr">
        <is>
          <t>Selective</t>
        </is>
      </c>
      <c r="D327" s="5" t="inlineStr">
        <is>
          <t>Intl/US</t>
        </is>
      </c>
      <c r="E327" s="5" t="inlineStr">
        <is>
          <t>Prestige drama</t>
        </is>
      </c>
      <c r="F327" s="5" t="inlineStr">
        <is>
          <t>Drama</t>
        </is>
      </c>
      <c r="G327" s="5" t="inlineStr">
        <is>
          <t>Low/Mid</t>
        </is>
      </c>
      <c r="H327" s="5" t="inlineStr">
        <is>
          <t>auteur, intimate</t>
        </is>
      </c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>
        <is>
          <t>Seeded</t>
        </is>
      </c>
      <c r="S327" s="5" t="inlineStr">
        <is>
          <t>2026-01-29</t>
        </is>
      </c>
      <c r="T327" s="5" t="inlineStr">
        <is>
          <t>https://en.wikipedia.org/w/index.php?search=Apichatpong+Weerasethakul</t>
        </is>
      </c>
      <c r="U327" s="5" t="inlineStr">
        <is>
          <t>https://www.imdb.com/find/?q=Apichatpong+Weerasethakul&amp;s=nm</t>
        </is>
      </c>
      <c r="AO327" s="19">
        <f>IFERROR(VLOOKUP(AN327,BUDGET_BANDS!$A$2:$C$9,2,FALSE),"")</f>
        <v/>
      </c>
      <c r="AP327" s="19">
        <f>IFERROR(VLOOKUP(AN327,BUDGET_BANDS!$A$2:$C$9,3,FALSE),"")</f>
        <v/>
      </c>
    </row>
    <row r="328">
      <c r="A328" s="5" t="inlineStr">
        <is>
          <t>Benedict Andrews</t>
        </is>
      </c>
      <c r="B328" s="5" t="inlineStr">
        <is>
          <t>T4</t>
        </is>
      </c>
      <c r="C328" s="5" t="inlineStr">
        <is>
          <t>Selective</t>
        </is>
      </c>
      <c r="D328" s="5" t="inlineStr">
        <is>
          <t>Intl/US</t>
        </is>
      </c>
      <c r="E328" s="5" t="inlineStr">
        <is>
          <t>Prestige drama</t>
        </is>
      </c>
      <c r="F328" s="5" t="inlineStr">
        <is>
          <t>Drama</t>
        </is>
      </c>
      <c r="G328" s="5" t="inlineStr">
        <is>
          <t>Low/Mid</t>
        </is>
      </c>
      <c r="H328" s="5" t="inlineStr">
        <is>
          <t>auteur, intimate</t>
        </is>
      </c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>
        <is>
          <t>Seeded</t>
        </is>
      </c>
      <c r="S328" s="5" t="inlineStr">
        <is>
          <t>2026-01-29</t>
        </is>
      </c>
      <c r="T328" s="5" t="inlineStr">
        <is>
          <t>https://en.wikipedia.org/w/index.php?search=Benedict+Andrews</t>
        </is>
      </c>
      <c r="U328" s="5" t="inlineStr">
        <is>
          <t>https://www.imdb.com/find/?q=Benedict+Andrews&amp;s=nm</t>
        </is>
      </c>
      <c r="AO328" s="19">
        <f>IFERROR(VLOOKUP(AN328,BUDGET_BANDS!$A$2:$C$9,2,FALSE),"")</f>
        <v/>
      </c>
      <c r="AP328" s="19">
        <f>IFERROR(VLOOKUP(AN328,BUDGET_BANDS!$A$2:$C$9,3,FALSE),"")</f>
        <v/>
      </c>
    </row>
    <row r="329">
      <c r="A329" s="5" t="inlineStr">
        <is>
          <t>Brandon Cronenberg</t>
        </is>
      </c>
      <c r="B329" s="5" t="inlineStr">
        <is>
          <t>T4</t>
        </is>
      </c>
      <c r="C329" s="5" t="inlineStr">
        <is>
          <t>Selective</t>
        </is>
      </c>
      <c r="D329" s="5" t="inlineStr">
        <is>
          <t>Intl/US</t>
        </is>
      </c>
      <c r="E329" s="5" t="inlineStr">
        <is>
          <t>Horror</t>
        </is>
      </c>
      <c r="F329" s="5" t="inlineStr">
        <is>
          <t>Thriller/Mystery,Prestige drama</t>
        </is>
      </c>
      <c r="G329" s="5" t="inlineStr">
        <is>
          <t>Low/Mid</t>
        </is>
      </c>
      <c r="H329" s="5" t="inlineStr">
        <is>
          <t>bold, auteur</t>
        </is>
      </c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>
        <is>
          <t>Seeded</t>
        </is>
      </c>
      <c r="S329" s="5" t="inlineStr">
        <is>
          <t>2026-01-29</t>
        </is>
      </c>
      <c r="T329" s="5" t="inlineStr">
        <is>
          <t>https://en.wikipedia.org/w/index.php?search=Brandon+Cronenberg</t>
        </is>
      </c>
      <c r="U329" s="5" t="inlineStr">
        <is>
          <t>https://www.imdb.com/find/?q=Brandon+Cronenberg&amp;s=nm</t>
        </is>
      </c>
      <c r="AO329" s="19">
        <f>IFERROR(VLOOKUP(AN329,BUDGET_BANDS!$A$2:$C$9,2,FALSE),"")</f>
        <v/>
      </c>
      <c r="AP329" s="19">
        <f>IFERROR(VLOOKUP(AN329,BUDGET_BANDS!$A$2:$C$9,3,FALSE),"")</f>
        <v/>
      </c>
    </row>
    <row r="330">
      <c r="A330" s="5" t="inlineStr">
        <is>
          <t>Béla Tarr</t>
        </is>
      </c>
      <c r="B330" s="5" t="inlineStr">
        <is>
          <t>T4</t>
        </is>
      </c>
      <c r="C330" s="5" t="inlineStr">
        <is>
          <t>Selective</t>
        </is>
      </c>
      <c r="D330" s="5" t="inlineStr">
        <is>
          <t>Intl/US</t>
        </is>
      </c>
      <c r="E330" s="5" t="inlineStr">
        <is>
          <t>Prestige drama</t>
        </is>
      </c>
      <c r="F330" s="5" t="inlineStr">
        <is>
          <t>Drama</t>
        </is>
      </c>
      <c r="G330" s="5" t="inlineStr">
        <is>
          <t>Low/Mid</t>
        </is>
      </c>
      <c r="H330" s="5" t="inlineStr">
        <is>
          <t>auteur, intimate</t>
        </is>
      </c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>
        <is>
          <t>Seeded</t>
        </is>
      </c>
      <c r="S330" s="5" t="inlineStr">
        <is>
          <t>2026-01-29</t>
        </is>
      </c>
      <c r="T330" s="5" t="inlineStr">
        <is>
          <t>https://en.wikipedia.org/w/index.php?search=B%C3%A9la+Tarr</t>
        </is>
      </c>
      <c r="U330" s="5" t="inlineStr">
        <is>
          <t>https://www.imdb.com/find/?q=B%C3%A9la+Tarr&amp;s=nm</t>
        </is>
      </c>
      <c r="AO330" s="19">
        <f>IFERROR(VLOOKUP(AN330,BUDGET_BANDS!$A$2:$C$9,2,FALSE),"")</f>
        <v/>
      </c>
      <c r="AP330" s="19">
        <f>IFERROR(VLOOKUP(AN330,BUDGET_BANDS!$A$2:$C$9,3,FALSE),"")</f>
        <v/>
      </c>
    </row>
    <row r="331">
      <c r="A331" s="5" t="inlineStr">
        <is>
          <t>Claire Denis</t>
        </is>
      </c>
      <c r="B331" s="5" t="inlineStr">
        <is>
          <t>T4</t>
        </is>
      </c>
      <c r="C331" s="5" t="inlineStr">
        <is>
          <t>Selective</t>
        </is>
      </c>
      <c r="D331" s="5" t="inlineStr">
        <is>
          <t>Intl/US</t>
        </is>
      </c>
      <c r="E331" s="5" t="inlineStr">
        <is>
          <t>Prestige drama</t>
        </is>
      </c>
      <c r="F331" s="5" t="inlineStr">
        <is>
          <t>Drama</t>
        </is>
      </c>
      <c r="G331" s="5" t="inlineStr">
        <is>
          <t>Low/Mid</t>
        </is>
      </c>
      <c r="H331" s="5" t="inlineStr">
        <is>
          <t>auteur, intimate</t>
        </is>
      </c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>
        <is>
          <t>Seeded</t>
        </is>
      </c>
      <c r="S331" s="5" t="inlineStr">
        <is>
          <t>2026-01-29</t>
        </is>
      </c>
      <c r="T331" s="5" t="inlineStr">
        <is>
          <t>https://en.wikipedia.org/w/index.php?search=Claire+Denis</t>
        </is>
      </c>
      <c r="U331" s="5" t="inlineStr">
        <is>
          <t>https://www.imdb.com/find/?q=Claire+Denis&amp;s=nm</t>
        </is>
      </c>
      <c r="AO331" s="19">
        <f>IFERROR(VLOOKUP(AN331,BUDGET_BANDS!$A$2:$C$9,2,FALSE),"")</f>
        <v/>
      </c>
      <c r="AP331" s="19">
        <f>IFERROR(VLOOKUP(AN331,BUDGET_BANDS!$A$2:$C$9,3,FALSE),"")</f>
        <v/>
      </c>
    </row>
    <row r="332">
      <c r="A332" s="5" t="inlineStr">
        <is>
          <t>Coralie Fargeat</t>
        </is>
      </c>
      <c r="B332" s="5" t="inlineStr">
        <is>
          <t>T4</t>
        </is>
      </c>
      <c r="C332" s="5" t="inlineStr">
        <is>
          <t>Selective</t>
        </is>
      </c>
      <c r="D332" s="5" t="inlineStr">
        <is>
          <t>Intl/US</t>
        </is>
      </c>
      <c r="E332" s="5" t="inlineStr">
        <is>
          <t>Horror</t>
        </is>
      </c>
      <c r="F332" s="5" t="inlineStr">
        <is>
          <t>Thriller/Mystery,Prestige drama</t>
        </is>
      </c>
      <c r="G332" s="5" t="inlineStr">
        <is>
          <t>Low/Mid</t>
        </is>
      </c>
      <c r="H332" s="5" t="inlineStr">
        <is>
          <t>bold, auteur</t>
        </is>
      </c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>
        <is>
          <t>Seeded</t>
        </is>
      </c>
      <c r="S332" s="5" t="inlineStr">
        <is>
          <t>2026-01-29</t>
        </is>
      </c>
      <c r="T332" s="5" t="inlineStr">
        <is>
          <t>https://en.wikipedia.org/w/index.php?search=Coralie+Fargeat</t>
        </is>
      </c>
      <c r="U332" s="5" t="inlineStr">
        <is>
          <t>https://www.imdb.com/find/?q=Coralie+Fargeat&amp;s=nm</t>
        </is>
      </c>
      <c r="AO332" s="19">
        <f>IFERROR(VLOOKUP(AN332,BUDGET_BANDS!$A$2:$C$9,2,FALSE),"")</f>
        <v/>
      </c>
      <c r="AP332" s="19">
        <f>IFERROR(VLOOKUP(AN332,BUDGET_BANDS!$A$2:$C$9,3,FALSE),"")</f>
        <v/>
      </c>
    </row>
    <row r="333">
      <c r="A333" s="5" t="inlineStr">
        <is>
          <t>Céline Sciamma</t>
        </is>
      </c>
      <c r="B333" s="5" t="inlineStr">
        <is>
          <t>T4</t>
        </is>
      </c>
      <c r="C333" s="5" t="inlineStr">
        <is>
          <t>Selective</t>
        </is>
      </c>
      <c r="D333" s="5" t="inlineStr">
        <is>
          <t>Intl/US</t>
        </is>
      </c>
      <c r="E333" s="5" t="inlineStr">
        <is>
          <t>Prestige drama</t>
        </is>
      </c>
      <c r="F333" s="5" t="inlineStr">
        <is>
          <t>Drama</t>
        </is>
      </c>
      <c r="G333" s="5" t="inlineStr">
        <is>
          <t>Low/Mid</t>
        </is>
      </c>
      <c r="H333" s="5" t="inlineStr">
        <is>
          <t>auteur, intimate</t>
        </is>
      </c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>
        <is>
          <t>Seeded</t>
        </is>
      </c>
      <c r="S333" s="5" t="inlineStr">
        <is>
          <t>2026-01-29</t>
        </is>
      </c>
      <c r="T333" s="5" t="inlineStr">
        <is>
          <t>https://en.wikipedia.org/w/index.php?search=C%C3%A9line+Sciamma</t>
        </is>
      </c>
      <c r="U333" s="5" t="inlineStr">
        <is>
          <t>https://www.imdb.com/find/?q=C%C3%A9line+Sciamma&amp;s=nm</t>
        </is>
      </c>
      <c r="AO333" s="19">
        <f>IFERROR(VLOOKUP(AN333,BUDGET_BANDS!$A$2:$C$9,2,FALSE),"")</f>
        <v/>
      </c>
      <c r="AP333" s="19">
        <f>IFERROR(VLOOKUP(AN333,BUDGET_BANDS!$A$2:$C$9,3,FALSE),"")</f>
        <v/>
      </c>
    </row>
    <row r="334">
      <c r="A334" s="5" t="inlineStr">
        <is>
          <t>Debra Granik</t>
        </is>
      </c>
      <c r="B334" s="5" t="inlineStr">
        <is>
          <t>T4</t>
        </is>
      </c>
      <c r="C334" s="5" t="inlineStr">
        <is>
          <t>Selective</t>
        </is>
      </c>
      <c r="D334" s="5" t="inlineStr">
        <is>
          <t>Intl/US</t>
        </is>
      </c>
      <c r="E334" s="5" t="inlineStr">
        <is>
          <t>Prestige drama</t>
        </is>
      </c>
      <c r="F334" s="5" t="inlineStr">
        <is>
          <t>Drama</t>
        </is>
      </c>
      <c r="G334" s="5" t="inlineStr">
        <is>
          <t>Low/Mid</t>
        </is>
      </c>
      <c r="H334" s="5" t="inlineStr">
        <is>
          <t>auteur, intimate</t>
        </is>
      </c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>
        <is>
          <t>Seeded</t>
        </is>
      </c>
      <c r="S334" s="5" t="inlineStr">
        <is>
          <t>2026-01-29</t>
        </is>
      </c>
      <c r="T334" s="5" t="inlineStr">
        <is>
          <t>https://en.wikipedia.org/w/index.php?search=Debra+Granik</t>
        </is>
      </c>
      <c r="U334" s="5" t="inlineStr">
        <is>
          <t>https://www.imdb.com/find/?q=Debra+Granik&amp;s=nm</t>
        </is>
      </c>
      <c r="AO334" s="19">
        <f>IFERROR(VLOOKUP(AN334,BUDGET_BANDS!$A$2:$C$9,2,FALSE),"")</f>
        <v/>
      </c>
      <c r="AP334" s="19">
        <f>IFERROR(VLOOKUP(AN334,BUDGET_BANDS!$A$2:$C$9,3,FALSE),"")</f>
        <v/>
      </c>
    </row>
    <row r="335">
      <c r="A335" s="5" t="inlineStr">
        <is>
          <t>Eliza Hittman</t>
        </is>
      </c>
      <c r="B335" s="5" t="inlineStr">
        <is>
          <t>T4</t>
        </is>
      </c>
      <c r="C335" s="5" t="inlineStr">
        <is>
          <t>Selective</t>
        </is>
      </c>
      <c r="D335" s="5" t="inlineStr">
        <is>
          <t>Intl/US</t>
        </is>
      </c>
      <c r="E335" s="5" t="inlineStr">
        <is>
          <t>Prestige drama</t>
        </is>
      </c>
      <c r="F335" s="5" t="inlineStr">
        <is>
          <t>Drama</t>
        </is>
      </c>
      <c r="G335" s="5" t="inlineStr">
        <is>
          <t>Low/Mid</t>
        </is>
      </c>
      <c r="H335" s="5" t="inlineStr">
        <is>
          <t>auteur, intimate</t>
        </is>
      </c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>
        <is>
          <t>Seeded</t>
        </is>
      </c>
      <c r="S335" s="5" t="inlineStr">
        <is>
          <t>2026-01-29</t>
        </is>
      </c>
      <c r="T335" s="5" t="inlineStr">
        <is>
          <t>https://en.wikipedia.org/w/index.php?search=Eliza+Hittman</t>
        </is>
      </c>
      <c r="U335" s="5" t="inlineStr">
        <is>
          <t>https://www.imdb.com/find/?q=Eliza+Hittman&amp;s=nm</t>
        </is>
      </c>
      <c r="AO335" s="19">
        <f>IFERROR(VLOOKUP(AN335,BUDGET_BANDS!$A$2:$C$9,2,FALSE),"")</f>
        <v/>
      </c>
      <c r="AP335" s="19">
        <f>IFERROR(VLOOKUP(AN335,BUDGET_BANDS!$A$2:$C$9,3,FALSE),"")</f>
        <v/>
      </c>
    </row>
    <row r="336">
      <c r="A336" s="5" t="inlineStr">
        <is>
          <t>Issa López</t>
        </is>
      </c>
      <c r="B336" s="5" t="inlineStr">
        <is>
          <t>T4</t>
        </is>
      </c>
      <c r="C336" s="5" t="inlineStr">
        <is>
          <t>Selective</t>
        </is>
      </c>
      <c r="D336" s="5" t="inlineStr">
        <is>
          <t>Intl/US</t>
        </is>
      </c>
      <c r="E336" s="5" t="inlineStr">
        <is>
          <t>Horror</t>
        </is>
      </c>
      <c r="F336" s="5" t="inlineStr">
        <is>
          <t>Thriller/Mystery,Prestige drama</t>
        </is>
      </c>
      <c r="G336" s="5" t="inlineStr">
        <is>
          <t>Low/Mid</t>
        </is>
      </c>
      <c r="H336" s="5" t="inlineStr">
        <is>
          <t>bold, auteur</t>
        </is>
      </c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>
        <is>
          <t>Seeded</t>
        </is>
      </c>
      <c r="S336" s="5" t="inlineStr">
        <is>
          <t>2026-01-29</t>
        </is>
      </c>
      <c r="T336" s="5" t="inlineStr">
        <is>
          <t>https://en.wikipedia.org/w/index.php?search=Issa+L%C3%B3pez</t>
        </is>
      </c>
      <c r="U336" s="5" t="inlineStr">
        <is>
          <t>https://www.imdb.com/find/?q=Issa+L%C3%B3pez&amp;s=nm</t>
        </is>
      </c>
      <c r="AO336" s="19">
        <f>IFERROR(VLOOKUP(AN336,BUDGET_BANDS!$A$2:$C$9,2,FALSE),"")</f>
        <v/>
      </c>
      <c r="AP336" s="19">
        <f>IFERROR(VLOOKUP(AN336,BUDGET_BANDS!$A$2:$C$9,3,FALSE),"")</f>
        <v/>
      </c>
    </row>
    <row r="337">
      <c r="A337" s="5" t="inlineStr">
        <is>
          <t>Jeff Nichols</t>
        </is>
      </c>
      <c r="B337" s="5" t="inlineStr">
        <is>
          <t>T4</t>
        </is>
      </c>
      <c r="C337" s="5" t="inlineStr">
        <is>
          <t>Selective</t>
        </is>
      </c>
      <c r="D337" s="5" t="inlineStr">
        <is>
          <t>Intl/US</t>
        </is>
      </c>
      <c r="E337" s="5" t="inlineStr">
        <is>
          <t>Prestige drama</t>
        </is>
      </c>
      <c r="F337" s="5" t="inlineStr">
        <is>
          <t>Drama</t>
        </is>
      </c>
      <c r="G337" s="5" t="inlineStr">
        <is>
          <t>Low/Mid</t>
        </is>
      </c>
      <c r="H337" s="5" t="inlineStr">
        <is>
          <t>auteur, intimate</t>
        </is>
      </c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>
        <is>
          <t>Seeded</t>
        </is>
      </c>
      <c r="S337" s="5" t="inlineStr">
        <is>
          <t>2026-01-29</t>
        </is>
      </c>
      <c r="T337" s="5" t="inlineStr">
        <is>
          <t>https://en.wikipedia.org/w/index.php?search=Jeff+Nichols</t>
        </is>
      </c>
      <c r="U337" s="5" t="inlineStr">
        <is>
          <t>https://www.imdb.com/find/?q=Jeff+Nichols&amp;s=nm</t>
        </is>
      </c>
      <c r="AO337" s="19">
        <f>IFERROR(VLOOKUP(AN337,BUDGET_BANDS!$A$2:$C$9,2,FALSE),"")</f>
        <v/>
      </c>
      <c r="AP337" s="19">
        <f>IFERROR(VLOOKUP(AN337,BUDGET_BANDS!$A$2:$C$9,3,FALSE),"")</f>
        <v/>
      </c>
    </row>
    <row r="338">
      <c r="A338" s="5" t="inlineStr">
        <is>
          <t>Joachim Trier</t>
        </is>
      </c>
      <c r="B338" s="5" t="inlineStr">
        <is>
          <t>T4</t>
        </is>
      </c>
      <c r="C338" s="5" t="inlineStr">
        <is>
          <t>Selective</t>
        </is>
      </c>
      <c r="D338" s="5" t="inlineStr">
        <is>
          <t>Intl/US</t>
        </is>
      </c>
      <c r="E338" s="5" t="inlineStr">
        <is>
          <t>Prestige drama</t>
        </is>
      </c>
      <c r="F338" s="5" t="inlineStr">
        <is>
          <t>Drama</t>
        </is>
      </c>
      <c r="G338" s="5" t="inlineStr">
        <is>
          <t>Low/Mid</t>
        </is>
      </c>
      <c r="H338" s="5" t="inlineStr">
        <is>
          <t>auteur, intimate</t>
        </is>
      </c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>
        <is>
          <t>Seeded</t>
        </is>
      </c>
      <c r="S338" s="5" t="inlineStr">
        <is>
          <t>2026-01-29</t>
        </is>
      </c>
      <c r="T338" s="5" t="inlineStr">
        <is>
          <t>https://en.wikipedia.org/w/index.php?search=Joachim+Trier</t>
        </is>
      </c>
      <c r="U338" s="5" t="inlineStr">
        <is>
          <t>https://www.imdb.com/find/?q=Joachim+Trier&amp;s=nm</t>
        </is>
      </c>
      <c r="AO338" s="19">
        <f>IFERROR(VLOOKUP(AN338,BUDGET_BANDS!$A$2:$C$9,2,FALSE),"")</f>
        <v/>
      </c>
      <c r="AP338" s="19">
        <f>IFERROR(VLOOKUP(AN338,BUDGET_BANDS!$A$2:$C$9,3,FALSE),"")</f>
        <v/>
      </c>
    </row>
    <row r="339">
      <c r="A339" s="5" t="inlineStr">
        <is>
          <t>Julia Ducournau</t>
        </is>
      </c>
      <c r="B339" s="5" t="inlineStr">
        <is>
          <t>T4</t>
        </is>
      </c>
      <c r="C339" s="5" t="inlineStr">
        <is>
          <t>Selective</t>
        </is>
      </c>
      <c r="D339" s="5" t="inlineStr">
        <is>
          <t>Intl/US</t>
        </is>
      </c>
      <c r="E339" s="5" t="inlineStr">
        <is>
          <t>Horror</t>
        </is>
      </c>
      <c r="F339" s="5" t="inlineStr">
        <is>
          <t>Thriller/Mystery,Prestige drama</t>
        </is>
      </c>
      <c r="G339" s="5" t="inlineStr">
        <is>
          <t>Low/Mid</t>
        </is>
      </c>
      <c r="H339" s="5" t="inlineStr">
        <is>
          <t>bold, auteur</t>
        </is>
      </c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>
        <is>
          <t>Seeded</t>
        </is>
      </c>
      <c r="S339" s="5" t="inlineStr">
        <is>
          <t>2026-01-29</t>
        </is>
      </c>
      <c r="T339" s="5" t="inlineStr">
        <is>
          <t>https://en.wikipedia.org/w/index.php?search=Julia+Ducournau</t>
        </is>
      </c>
      <c r="U339" s="5" t="inlineStr">
        <is>
          <t>https://www.imdb.com/find/?q=Julia+Ducournau&amp;s=nm</t>
        </is>
      </c>
      <c r="AO339" s="19">
        <f>IFERROR(VLOOKUP(AN339,BUDGET_BANDS!$A$2:$C$9,2,FALSE),"")</f>
        <v/>
      </c>
      <c r="AP339" s="19">
        <f>IFERROR(VLOOKUP(AN339,BUDGET_BANDS!$A$2:$C$9,3,FALSE),"")</f>
        <v/>
      </c>
    </row>
    <row r="340">
      <c r="A340" s="5" t="inlineStr">
        <is>
          <t>Kelly Fremon Craig</t>
        </is>
      </c>
      <c r="B340" s="5" t="inlineStr">
        <is>
          <t>T4</t>
        </is>
      </c>
      <c r="C340" s="5" t="inlineStr">
        <is>
          <t>Selective</t>
        </is>
      </c>
      <c r="D340" s="5" t="inlineStr">
        <is>
          <t>Intl/US</t>
        </is>
      </c>
      <c r="E340" s="5" t="inlineStr">
        <is>
          <t>Prestige drama</t>
        </is>
      </c>
      <c r="F340" s="5" t="inlineStr">
        <is>
          <t>Drama</t>
        </is>
      </c>
      <c r="G340" s="5" t="inlineStr">
        <is>
          <t>Low/Mid</t>
        </is>
      </c>
      <c r="H340" s="5" t="inlineStr">
        <is>
          <t>auteur, intimate</t>
        </is>
      </c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>
        <is>
          <t>Seeded</t>
        </is>
      </c>
      <c r="S340" s="5" t="inlineStr">
        <is>
          <t>2026-01-29</t>
        </is>
      </c>
      <c r="T340" s="5" t="inlineStr">
        <is>
          <t>https://en.wikipedia.org/w/index.php?search=Kelly+Fremon+Craig</t>
        </is>
      </c>
      <c r="U340" s="5" t="inlineStr">
        <is>
          <t>https://www.imdb.com/find/?q=Kelly+Fremon+Craig&amp;s=nm</t>
        </is>
      </c>
      <c r="AO340" s="19">
        <f>IFERROR(VLOOKUP(AN340,BUDGET_BANDS!$A$2:$C$9,2,FALSE),"")</f>
        <v/>
      </c>
      <c r="AP340" s="19">
        <f>IFERROR(VLOOKUP(AN340,BUDGET_BANDS!$A$2:$C$9,3,FALSE),"")</f>
        <v/>
      </c>
    </row>
    <row r="341">
      <c r="A341" s="5" t="inlineStr">
        <is>
          <t>Kelly Reichardt</t>
        </is>
      </c>
      <c r="B341" s="5" t="inlineStr">
        <is>
          <t>T4</t>
        </is>
      </c>
      <c r="C341" s="5" t="inlineStr">
        <is>
          <t>Selective</t>
        </is>
      </c>
      <c r="D341" s="5" t="inlineStr">
        <is>
          <t>Intl/US</t>
        </is>
      </c>
      <c r="E341" s="5" t="inlineStr">
        <is>
          <t>Prestige drama</t>
        </is>
      </c>
      <c r="F341" s="5" t="inlineStr">
        <is>
          <t>Drama</t>
        </is>
      </c>
      <c r="G341" s="5" t="inlineStr">
        <is>
          <t>Low/Mid</t>
        </is>
      </c>
      <c r="H341" s="5" t="inlineStr">
        <is>
          <t>auteur, intimate</t>
        </is>
      </c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>
        <is>
          <t>Seeded</t>
        </is>
      </c>
      <c r="S341" s="5" t="inlineStr">
        <is>
          <t>2026-01-29</t>
        </is>
      </c>
      <c r="T341" s="5" t="inlineStr">
        <is>
          <t>https://en.wikipedia.org/w/index.php?search=Kelly+Reichardt</t>
        </is>
      </c>
      <c r="U341" s="5" t="inlineStr">
        <is>
          <t>https://www.imdb.com/find/?q=Kelly+Reichardt&amp;s=nm</t>
        </is>
      </c>
      <c r="AO341" s="19">
        <f>IFERROR(VLOOKUP(AN341,BUDGET_BANDS!$A$2:$C$9,2,FALSE),"")</f>
        <v/>
      </c>
      <c r="AP341" s="19">
        <f>IFERROR(VLOOKUP(AN341,BUDGET_BANDS!$A$2:$C$9,3,FALSE),"")</f>
        <v/>
      </c>
    </row>
    <row r="342">
      <c r="A342" s="5" t="inlineStr">
        <is>
          <t>Lucrecia Martel</t>
        </is>
      </c>
      <c r="B342" s="5" t="inlineStr">
        <is>
          <t>T4</t>
        </is>
      </c>
      <c r="C342" s="5" t="inlineStr">
        <is>
          <t>Selective</t>
        </is>
      </c>
      <c r="D342" s="5" t="inlineStr">
        <is>
          <t>Intl/US</t>
        </is>
      </c>
      <c r="E342" s="5" t="inlineStr">
        <is>
          <t>Prestige drama</t>
        </is>
      </c>
      <c r="F342" s="5" t="inlineStr">
        <is>
          <t>Drama</t>
        </is>
      </c>
      <c r="G342" s="5" t="inlineStr">
        <is>
          <t>Low/Mid</t>
        </is>
      </c>
      <c r="H342" s="5" t="inlineStr">
        <is>
          <t>auteur, intimate</t>
        </is>
      </c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>
        <is>
          <t>Seeded</t>
        </is>
      </c>
      <c r="S342" s="5" t="inlineStr">
        <is>
          <t>2026-01-29</t>
        </is>
      </c>
      <c r="T342" s="5" t="inlineStr">
        <is>
          <t>https://en.wikipedia.org/w/index.php?search=Lucrecia+Martel</t>
        </is>
      </c>
      <c r="U342" s="5" t="inlineStr">
        <is>
          <t>https://www.imdb.com/find/?q=Lucrecia+Martel&amp;s=nm</t>
        </is>
      </c>
      <c r="AO342" s="19">
        <f>IFERROR(VLOOKUP(AN342,BUDGET_BANDS!$A$2:$C$9,2,FALSE),"")</f>
        <v/>
      </c>
      <c r="AP342" s="19">
        <f>IFERROR(VLOOKUP(AN342,BUDGET_BANDS!$A$2:$C$9,3,FALSE),"")</f>
        <v/>
      </c>
    </row>
    <row r="343">
      <c r="A343" s="5" t="inlineStr">
        <is>
          <t>Lynne Ramsay</t>
        </is>
      </c>
      <c r="B343" s="5" t="inlineStr">
        <is>
          <t>T4</t>
        </is>
      </c>
      <c r="C343" s="5" t="inlineStr">
        <is>
          <t>Selective</t>
        </is>
      </c>
      <c r="D343" s="5" t="inlineStr">
        <is>
          <t>Intl/US</t>
        </is>
      </c>
      <c r="E343" s="5" t="inlineStr">
        <is>
          <t>Prestige drama</t>
        </is>
      </c>
      <c r="F343" s="5" t="inlineStr">
        <is>
          <t>Drama</t>
        </is>
      </c>
      <c r="G343" s="5" t="inlineStr">
        <is>
          <t>Low/Mid</t>
        </is>
      </c>
      <c r="H343" s="5" t="inlineStr">
        <is>
          <t>auteur, intimate</t>
        </is>
      </c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>
        <is>
          <t>Seeded</t>
        </is>
      </c>
      <c r="S343" s="5" t="inlineStr">
        <is>
          <t>2026-01-29</t>
        </is>
      </c>
      <c r="T343" s="5" t="inlineStr">
        <is>
          <t>https://en.wikipedia.org/w/index.php?search=Lynne+Ramsay</t>
        </is>
      </c>
      <c r="U343" s="5" t="inlineStr">
        <is>
          <t>https://www.imdb.com/find/?q=Lynne+Ramsay&amp;s=nm</t>
        </is>
      </c>
      <c r="AO343" s="19">
        <f>IFERROR(VLOOKUP(AN343,BUDGET_BANDS!$A$2:$C$9,2,FALSE),"")</f>
        <v/>
      </c>
      <c r="AP343" s="19">
        <f>IFERROR(VLOOKUP(AN343,BUDGET_BANDS!$A$2:$C$9,3,FALSE),"")</f>
        <v/>
      </c>
    </row>
    <row r="344">
      <c r="A344" s="5" t="inlineStr">
        <is>
          <t>Mia Hansen-Løve</t>
        </is>
      </c>
      <c r="B344" s="5" t="inlineStr">
        <is>
          <t>T4</t>
        </is>
      </c>
      <c r="C344" s="5" t="inlineStr">
        <is>
          <t>Selective</t>
        </is>
      </c>
      <c r="D344" s="5" t="inlineStr">
        <is>
          <t>Intl/US</t>
        </is>
      </c>
      <c r="E344" s="5" t="inlineStr">
        <is>
          <t>Prestige drama</t>
        </is>
      </c>
      <c r="F344" s="5" t="inlineStr">
        <is>
          <t>Drama</t>
        </is>
      </c>
      <c r="G344" s="5" t="inlineStr">
        <is>
          <t>Low/Mid</t>
        </is>
      </c>
      <c r="H344" s="5" t="inlineStr">
        <is>
          <t>auteur, intimate</t>
        </is>
      </c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>
        <is>
          <t>Seeded</t>
        </is>
      </c>
      <c r="S344" s="5" t="inlineStr">
        <is>
          <t>2026-01-29</t>
        </is>
      </c>
      <c r="T344" s="5" t="inlineStr">
        <is>
          <t>https://en.wikipedia.org/w/index.php?search=Mia+Hansen-L%C3%B8ve</t>
        </is>
      </c>
      <c r="U344" s="5" t="inlineStr">
        <is>
          <t>https://www.imdb.com/find/?q=Mia+Hansen-L%C3%B8ve&amp;s=nm</t>
        </is>
      </c>
      <c r="AO344" s="19">
        <f>IFERROR(VLOOKUP(AN344,BUDGET_BANDS!$A$2:$C$9,2,FALSE),"")</f>
        <v/>
      </c>
      <c r="AP344" s="19">
        <f>IFERROR(VLOOKUP(AN344,BUDGET_BANDS!$A$2:$C$9,3,FALSE),"")</f>
        <v/>
      </c>
    </row>
    <row r="345">
      <c r="A345" s="5" t="inlineStr">
        <is>
          <t>Panos Cosmatos</t>
        </is>
      </c>
      <c r="B345" s="5" t="inlineStr">
        <is>
          <t>T4</t>
        </is>
      </c>
      <c r="C345" s="5" t="inlineStr">
        <is>
          <t>Selective</t>
        </is>
      </c>
      <c r="D345" s="5" t="inlineStr">
        <is>
          <t>Intl/US</t>
        </is>
      </c>
      <c r="E345" s="5" t="inlineStr">
        <is>
          <t>Horror</t>
        </is>
      </c>
      <c r="F345" s="5" t="inlineStr">
        <is>
          <t>Thriller/Mystery,Prestige drama</t>
        </is>
      </c>
      <c r="G345" s="5" t="inlineStr">
        <is>
          <t>Low/Mid</t>
        </is>
      </c>
      <c r="H345" s="5" t="inlineStr">
        <is>
          <t>bold, auteur</t>
        </is>
      </c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>
        <is>
          <t>Seeded</t>
        </is>
      </c>
      <c r="S345" s="5" t="inlineStr">
        <is>
          <t>2026-01-29</t>
        </is>
      </c>
      <c r="T345" s="5" t="inlineStr">
        <is>
          <t>https://en.wikipedia.org/w/index.php?search=Panos+Cosmatos</t>
        </is>
      </c>
      <c r="U345" s="5" t="inlineStr">
        <is>
          <t>https://www.imdb.com/find/?q=Panos+Cosmatos&amp;s=nm</t>
        </is>
      </c>
      <c r="AO345" s="19">
        <f>IFERROR(VLOOKUP(AN345,BUDGET_BANDS!$A$2:$C$9,2,FALSE),"")</f>
        <v/>
      </c>
      <c r="AP345" s="19">
        <f>IFERROR(VLOOKUP(AN345,BUDGET_BANDS!$A$2:$C$9,3,FALSE),"")</f>
        <v/>
      </c>
    </row>
    <row r="346">
      <c r="A346" s="5" t="inlineStr">
        <is>
          <t>Prano Bailey-Bond</t>
        </is>
      </c>
      <c r="B346" s="5" t="inlineStr">
        <is>
          <t>T4</t>
        </is>
      </c>
      <c r="C346" s="5" t="inlineStr">
        <is>
          <t>Selective</t>
        </is>
      </c>
      <c r="D346" s="5" t="inlineStr">
        <is>
          <t>Intl/US</t>
        </is>
      </c>
      <c r="E346" s="5" t="inlineStr">
        <is>
          <t>Horror</t>
        </is>
      </c>
      <c r="F346" s="5" t="inlineStr">
        <is>
          <t>Thriller/Mystery,Prestige drama</t>
        </is>
      </c>
      <c r="G346" s="5" t="inlineStr">
        <is>
          <t>Low/Mid</t>
        </is>
      </c>
      <c r="H346" s="5" t="inlineStr">
        <is>
          <t>bold, auteur</t>
        </is>
      </c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>
        <is>
          <t>Seeded</t>
        </is>
      </c>
      <c r="S346" s="5" t="inlineStr">
        <is>
          <t>2026-01-29</t>
        </is>
      </c>
      <c r="T346" s="5" t="inlineStr">
        <is>
          <t>https://en.wikipedia.org/w/index.php?search=Prano+Bailey-Bond</t>
        </is>
      </c>
      <c r="U346" s="5" t="inlineStr">
        <is>
          <t>https://www.imdb.com/find/?q=Prano+Bailey-Bond&amp;s=nm</t>
        </is>
      </c>
      <c r="AO346" s="19">
        <f>IFERROR(VLOOKUP(AN346,BUDGET_BANDS!$A$2:$C$9,2,FALSE),"")</f>
        <v/>
      </c>
      <c r="AP346" s="19">
        <f>IFERROR(VLOOKUP(AN346,BUDGET_BANDS!$A$2:$C$9,3,FALSE),"")</f>
        <v/>
      </c>
    </row>
    <row r="347">
      <c r="A347" s="5" t="inlineStr">
        <is>
          <t>Rose Glass</t>
        </is>
      </c>
      <c r="B347" s="5" t="inlineStr">
        <is>
          <t>T4</t>
        </is>
      </c>
      <c r="C347" s="5" t="inlineStr">
        <is>
          <t>Selective</t>
        </is>
      </c>
      <c r="D347" s="5" t="inlineStr">
        <is>
          <t>Intl/US</t>
        </is>
      </c>
      <c r="E347" s="5" t="inlineStr">
        <is>
          <t>Horror</t>
        </is>
      </c>
      <c r="F347" s="5" t="inlineStr">
        <is>
          <t>Thriller/Mystery,Prestige drama</t>
        </is>
      </c>
      <c r="G347" s="5" t="inlineStr">
        <is>
          <t>Low/Mid</t>
        </is>
      </c>
      <c r="H347" s="5" t="inlineStr">
        <is>
          <t>bold, auteur</t>
        </is>
      </c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>
        <is>
          <t>Seeded</t>
        </is>
      </c>
      <c r="S347" s="5" t="inlineStr">
        <is>
          <t>2026-01-29</t>
        </is>
      </c>
      <c r="T347" s="5" t="inlineStr">
        <is>
          <t>https://en.wikipedia.org/w/index.php?search=Rose+Glass</t>
        </is>
      </c>
      <c r="U347" s="5" t="inlineStr">
        <is>
          <t>https://www.imdb.com/find/?q=Rose+Glass&amp;s=nm</t>
        </is>
      </c>
      <c r="AO347" s="19">
        <f>IFERROR(VLOOKUP(AN347,BUDGET_BANDS!$A$2:$C$9,2,FALSE),"")</f>
        <v/>
      </c>
      <c r="AP347" s="19">
        <f>IFERROR(VLOOKUP(AN347,BUDGET_BANDS!$A$2:$C$9,3,FALSE),"")</f>
        <v/>
      </c>
    </row>
    <row r="348">
      <c r="A348" s="5" t="inlineStr">
        <is>
          <t>Ryusuke Hamaguchi</t>
        </is>
      </c>
      <c r="B348" s="5" t="inlineStr">
        <is>
          <t>T4</t>
        </is>
      </c>
      <c r="C348" s="5" t="inlineStr">
        <is>
          <t>Selective</t>
        </is>
      </c>
      <c r="D348" s="5" t="inlineStr">
        <is>
          <t>Intl/US</t>
        </is>
      </c>
      <c r="E348" s="5" t="inlineStr">
        <is>
          <t>Prestige drama</t>
        </is>
      </c>
      <c r="F348" s="5" t="inlineStr">
        <is>
          <t>Drama</t>
        </is>
      </c>
      <c r="G348" s="5" t="inlineStr">
        <is>
          <t>Low/Mid</t>
        </is>
      </c>
      <c r="H348" s="5" t="inlineStr">
        <is>
          <t>auteur, intimate</t>
        </is>
      </c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>
        <is>
          <t>Seeded</t>
        </is>
      </c>
      <c r="S348" s="5" t="inlineStr">
        <is>
          <t>2026-01-29</t>
        </is>
      </c>
      <c r="T348" s="5" t="inlineStr">
        <is>
          <t>https://en.wikipedia.org/w/index.php?search=Ryusuke+Hamaguchi</t>
        </is>
      </c>
      <c r="U348" s="5" t="inlineStr">
        <is>
          <t>https://www.imdb.com/find/?q=Ryusuke+Hamaguchi&amp;s=nm</t>
        </is>
      </c>
      <c r="AO348" s="19">
        <f>IFERROR(VLOOKUP(AN348,BUDGET_BANDS!$A$2:$C$9,2,FALSE),"")</f>
        <v/>
      </c>
      <c r="AP348" s="19">
        <f>IFERROR(VLOOKUP(AN348,BUDGET_BANDS!$A$2:$C$9,3,FALSE),"")</f>
        <v/>
      </c>
    </row>
    <row r="349">
      <c r="A349" s="5" t="inlineStr">
        <is>
          <t>Sean Baker</t>
        </is>
      </c>
      <c r="B349" s="5" t="inlineStr">
        <is>
          <t>T4</t>
        </is>
      </c>
      <c r="C349" s="5" t="inlineStr">
        <is>
          <t>Selective</t>
        </is>
      </c>
      <c r="D349" s="5" t="inlineStr">
        <is>
          <t>Intl/US</t>
        </is>
      </c>
      <c r="E349" s="5" t="inlineStr">
        <is>
          <t>Prestige drama</t>
        </is>
      </c>
      <c r="F349" s="5" t="inlineStr">
        <is>
          <t>Drama</t>
        </is>
      </c>
      <c r="G349" s="5" t="inlineStr">
        <is>
          <t>Low/Mid</t>
        </is>
      </c>
      <c r="H349" s="5" t="inlineStr">
        <is>
          <t>auteur, intimate</t>
        </is>
      </c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>
        <is>
          <t>Seeded</t>
        </is>
      </c>
      <c r="S349" s="5" t="inlineStr">
        <is>
          <t>2026-01-29</t>
        </is>
      </c>
      <c r="T349" s="5" t="inlineStr">
        <is>
          <t>https://en.wikipedia.org/w/index.php?search=Sean+Baker</t>
        </is>
      </c>
      <c r="U349" s="5" t="inlineStr">
        <is>
          <t>https://www.imdb.com/find/?q=Sean+Baker&amp;s=nm</t>
        </is>
      </c>
      <c r="AO349" s="19">
        <f>IFERROR(VLOOKUP(AN349,BUDGET_BANDS!$A$2:$C$9,2,FALSE),"")</f>
        <v/>
      </c>
      <c r="AP349" s="19">
        <f>IFERROR(VLOOKUP(AN349,BUDGET_BANDS!$A$2:$C$9,3,FALSE),"")</f>
        <v/>
      </c>
    </row>
    <row r="350">
      <c r="A350" s="5" t="inlineStr">
        <is>
          <t>A. V. Rockwell</t>
        </is>
      </c>
      <c r="B350" s="5" t="inlineStr">
        <is>
          <t>T5</t>
        </is>
      </c>
      <c r="C350" s="5" t="inlineStr">
        <is>
          <t>Breakout</t>
        </is>
      </c>
      <c r="D350" s="5" t="inlineStr">
        <is>
          <t>US/Intl</t>
        </is>
      </c>
      <c r="E350" s="5" t="inlineStr">
        <is>
          <t>Drama</t>
        </is>
      </c>
      <c r="F350" s="5" t="inlineStr">
        <is>
          <t>Prestige drama,Thriller/Mystery</t>
        </is>
      </c>
      <c r="G350" s="5" t="inlineStr">
        <is>
          <t>Low/Mid</t>
        </is>
      </c>
      <c r="H350" s="5" t="inlineStr">
        <is>
          <t>voice-driven</t>
        </is>
      </c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>
        <is>
          <t>Seeded</t>
        </is>
      </c>
      <c r="S350" s="5" t="inlineStr">
        <is>
          <t>2026-01-29</t>
        </is>
      </c>
      <c r="T350" s="5" t="inlineStr">
        <is>
          <t>https://en.wikipedia.org/w/index.php?search=A.+V.+Rockwell</t>
        </is>
      </c>
      <c r="U350" s="5" t="inlineStr">
        <is>
          <t>https://www.imdb.com/find/?q=A.+V.+Rockwell&amp;s=nm</t>
        </is>
      </c>
      <c r="AO350" s="19">
        <f>IFERROR(VLOOKUP(AN350,BUDGET_BANDS!$A$2:$C$9,2,FALSE),"")</f>
        <v/>
      </c>
      <c r="AP350" s="19">
        <f>IFERROR(VLOOKUP(AN350,BUDGET_BANDS!$A$2:$C$9,3,FALSE),"")</f>
        <v/>
      </c>
    </row>
    <row r="351">
      <c r="A351" s="5" t="inlineStr">
        <is>
          <t>Alejandro Landes</t>
        </is>
      </c>
      <c r="B351" s="5" t="inlineStr">
        <is>
          <t>T5</t>
        </is>
      </c>
      <c r="C351" s="5" t="inlineStr">
        <is>
          <t>Breakout</t>
        </is>
      </c>
      <c r="D351" s="5" t="inlineStr">
        <is>
          <t>Intl/US</t>
        </is>
      </c>
      <c r="E351" s="5" t="inlineStr">
        <is>
          <t>Drama</t>
        </is>
      </c>
      <c r="F351" s="5" t="inlineStr">
        <is>
          <t>Prestige drama</t>
        </is>
      </c>
      <c r="G351" s="5" t="inlineStr">
        <is>
          <t>Low/Mid</t>
        </is>
      </c>
      <c r="H351" s="5" t="inlineStr">
        <is>
          <t>voice-driven</t>
        </is>
      </c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>
        <is>
          <t>Seeded</t>
        </is>
      </c>
      <c r="S351" s="5" t="inlineStr">
        <is>
          <t>2026-01-29</t>
        </is>
      </c>
      <c r="T351" s="5" t="inlineStr">
        <is>
          <t>https://en.wikipedia.org/w/index.php?search=Alejandro+Landes</t>
        </is>
      </c>
      <c r="U351" s="5" t="inlineStr">
        <is>
          <t>https://www.imdb.com/find/?q=Alejandro+Landes&amp;s=nm</t>
        </is>
      </c>
      <c r="AO351" s="19">
        <f>IFERROR(VLOOKUP(AN351,BUDGET_BANDS!$A$2:$C$9,2,FALSE),"")</f>
        <v/>
      </c>
      <c r="AP351" s="19">
        <f>IFERROR(VLOOKUP(AN351,BUDGET_BANDS!$A$2:$C$9,3,FALSE),"")</f>
        <v/>
      </c>
    </row>
    <row r="352">
      <c r="A352" s="5" t="inlineStr">
        <is>
          <t>Anna Kendrick</t>
        </is>
      </c>
      <c r="B352" s="5" t="inlineStr">
        <is>
          <t>T5</t>
        </is>
      </c>
      <c r="C352" s="5" t="inlineStr">
        <is>
          <t>Breakout</t>
        </is>
      </c>
      <c r="D352" s="5" t="inlineStr">
        <is>
          <t>US/UK</t>
        </is>
      </c>
      <c r="E352" s="5" t="inlineStr">
        <is>
          <t>Comedy</t>
        </is>
      </c>
      <c r="F352" s="5" t="inlineStr">
        <is>
          <t>Drama</t>
        </is>
      </c>
      <c r="G352" s="5" t="inlineStr">
        <is>
          <t>Low/Mid</t>
        </is>
      </c>
      <c r="H352" s="5" t="inlineStr">
        <is>
          <t>voice-driven</t>
        </is>
      </c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>
        <is>
          <t>Seeded</t>
        </is>
      </c>
      <c r="S352" s="5" t="inlineStr">
        <is>
          <t>2026-01-29</t>
        </is>
      </c>
      <c r="T352" s="5" t="inlineStr">
        <is>
          <t>https://en.wikipedia.org/w/index.php?search=Anna+Kendrick</t>
        </is>
      </c>
      <c r="U352" s="5" t="inlineStr">
        <is>
          <t>https://www.imdb.com/find/?q=Anna+Kendrick&amp;s=nm</t>
        </is>
      </c>
      <c r="AO352" s="19">
        <f>IFERROR(VLOOKUP(AN352,BUDGET_BANDS!$A$2:$C$9,2,FALSE),"")</f>
        <v/>
      </c>
      <c r="AP352" s="19">
        <f>IFERROR(VLOOKUP(AN352,BUDGET_BANDS!$A$2:$C$9,3,FALSE),"")</f>
        <v/>
      </c>
    </row>
    <row r="353">
      <c r="A353" s="5" t="inlineStr">
        <is>
          <t>Beth de Araújo</t>
        </is>
      </c>
      <c r="B353" s="5" t="inlineStr">
        <is>
          <t>T5</t>
        </is>
      </c>
      <c r="C353" s="5" t="inlineStr">
        <is>
          <t>Breakout</t>
        </is>
      </c>
      <c r="D353" s="5" t="inlineStr">
        <is>
          <t>US/UK</t>
        </is>
      </c>
      <c r="E353" s="5" t="inlineStr">
        <is>
          <t>Comedy</t>
        </is>
      </c>
      <c r="F353" s="5" t="inlineStr">
        <is>
          <t>Drama</t>
        </is>
      </c>
      <c r="G353" s="5" t="inlineStr">
        <is>
          <t>Low/Mid</t>
        </is>
      </c>
      <c r="H353" s="5" t="inlineStr">
        <is>
          <t>voice-driven</t>
        </is>
      </c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>
        <is>
          <t>Seeded</t>
        </is>
      </c>
      <c r="S353" s="5" t="inlineStr">
        <is>
          <t>2026-01-29</t>
        </is>
      </c>
      <c r="T353" s="5" t="inlineStr">
        <is>
          <t>https://en.wikipedia.org/w/index.php?search=Beth+de+Ara%C3%BAjo</t>
        </is>
      </c>
      <c r="U353" s="5" t="inlineStr">
        <is>
          <t>https://www.imdb.com/find/?q=Beth+de+Ara%C3%BAjo&amp;s=nm</t>
        </is>
      </c>
      <c r="AO353" s="19">
        <f>IFERROR(VLOOKUP(AN353,BUDGET_BANDS!$A$2:$C$9,2,FALSE),"")</f>
        <v/>
      </c>
      <c r="AP353" s="19">
        <f>IFERROR(VLOOKUP(AN353,BUDGET_BANDS!$A$2:$C$9,3,FALSE),"")</f>
        <v/>
      </c>
    </row>
    <row r="354">
      <c r="A354" s="5" t="inlineStr">
        <is>
          <t>Boots Riley</t>
        </is>
      </c>
      <c r="B354" s="5" t="inlineStr">
        <is>
          <t>T5</t>
        </is>
      </c>
      <c r="C354" s="5" t="inlineStr">
        <is>
          <t>Breakout</t>
        </is>
      </c>
      <c r="D354" s="5" t="inlineStr">
        <is>
          <t>US/Intl</t>
        </is>
      </c>
      <c r="E354" s="5" t="inlineStr">
        <is>
          <t>Drama</t>
        </is>
      </c>
      <c r="F354" s="5" t="inlineStr">
        <is>
          <t>Prestige drama,Thriller/Mystery</t>
        </is>
      </c>
      <c r="G354" s="5" t="inlineStr">
        <is>
          <t>Low/Mid</t>
        </is>
      </c>
      <c r="H354" s="5" t="inlineStr">
        <is>
          <t>voice-driven</t>
        </is>
      </c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>
        <is>
          <t>Seeded</t>
        </is>
      </c>
      <c r="S354" s="5" t="inlineStr">
        <is>
          <t>2026-01-29</t>
        </is>
      </c>
      <c r="T354" s="5" t="inlineStr">
        <is>
          <t>https://en.wikipedia.org/w/index.php?search=Boots+Riley</t>
        </is>
      </c>
      <c r="U354" s="5" t="inlineStr">
        <is>
          <t>https://www.imdb.com/find/?q=Boots+Riley&amp;s=nm</t>
        </is>
      </c>
      <c r="AO354" s="19">
        <f>IFERROR(VLOOKUP(AN354,BUDGET_BANDS!$A$2:$C$9,2,FALSE),"")</f>
        <v/>
      </c>
      <c r="AP354" s="19">
        <f>IFERROR(VLOOKUP(AN354,BUDGET_BANDS!$A$2:$C$9,3,FALSE),"")</f>
        <v/>
      </c>
    </row>
    <row r="355">
      <c r="A355" s="5" t="inlineStr">
        <is>
          <t>Brady Corbet</t>
        </is>
      </c>
      <c r="B355" s="5" t="inlineStr">
        <is>
          <t>T5</t>
        </is>
      </c>
      <c r="C355" s="5" t="inlineStr">
        <is>
          <t>Breakout</t>
        </is>
      </c>
      <c r="D355" s="5" t="inlineStr">
        <is>
          <t>US/Intl</t>
        </is>
      </c>
      <c r="E355" s="5" t="inlineStr">
        <is>
          <t>Drama</t>
        </is>
      </c>
      <c r="F355" s="5" t="inlineStr">
        <is>
          <t>Prestige drama,Thriller/Mystery</t>
        </is>
      </c>
      <c r="G355" s="5" t="inlineStr">
        <is>
          <t>Low/Mid</t>
        </is>
      </c>
      <c r="H355" s="5" t="inlineStr">
        <is>
          <t>voice-driven</t>
        </is>
      </c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>
        <is>
          <t>Seeded</t>
        </is>
      </c>
      <c r="S355" s="5" t="inlineStr">
        <is>
          <t>2026-01-29</t>
        </is>
      </c>
      <c r="T355" s="5" t="inlineStr">
        <is>
          <t>https://en.wikipedia.org/w/index.php?search=Brady+Corbet</t>
        </is>
      </c>
      <c r="U355" s="5" t="inlineStr">
        <is>
          <t>https://www.imdb.com/find/?q=Brady+Corbet&amp;s=nm</t>
        </is>
      </c>
      <c r="AO355" s="19">
        <f>IFERROR(VLOOKUP(AN355,BUDGET_BANDS!$A$2:$C$9,2,FALSE),"")</f>
        <v/>
      </c>
      <c r="AP355" s="19">
        <f>IFERROR(VLOOKUP(AN355,BUDGET_BANDS!$A$2:$C$9,3,FALSE),"")</f>
        <v/>
      </c>
    </row>
    <row r="356">
      <c r="A356" s="5" t="inlineStr">
        <is>
          <t>Cary Joji Fukunaga</t>
        </is>
      </c>
      <c r="B356" s="5" t="inlineStr">
        <is>
          <t>T5</t>
        </is>
      </c>
      <c r="C356" s="5" t="inlineStr">
        <is>
          <t>Breakout</t>
        </is>
      </c>
      <c r="D356" s="5" t="inlineStr">
        <is>
          <t>Intl/US</t>
        </is>
      </c>
      <c r="E356" s="5" t="inlineStr">
        <is>
          <t>Drama</t>
        </is>
      </c>
      <c r="F356" s="5" t="inlineStr">
        <is>
          <t>Prestige drama</t>
        </is>
      </c>
      <c r="G356" s="5" t="inlineStr">
        <is>
          <t>Low/Mid</t>
        </is>
      </c>
      <c r="H356" s="5" t="inlineStr">
        <is>
          <t>voice-driven</t>
        </is>
      </c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>
        <is>
          <t>Seeded</t>
        </is>
      </c>
      <c r="S356" s="5" t="inlineStr">
        <is>
          <t>2026-01-29</t>
        </is>
      </c>
      <c r="T356" s="5" t="inlineStr">
        <is>
          <t>https://en.wikipedia.org/w/index.php?search=Cary+Joji+Fukunaga</t>
        </is>
      </c>
      <c r="U356" s="5" t="inlineStr">
        <is>
          <t>https://www.imdb.com/find/?q=Cary+Joji+Fukunaga&amp;s=nm</t>
        </is>
      </c>
      <c r="AO356" s="19">
        <f>IFERROR(VLOOKUP(AN356,BUDGET_BANDS!$A$2:$C$9,2,FALSE),"")</f>
        <v/>
      </c>
      <c r="AP356" s="19">
        <f>IFERROR(VLOOKUP(AN356,BUDGET_BANDS!$A$2:$C$9,3,FALSE),"")</f>
        <v/>
      </c>
    </row>
    <row r="357">
      <c r="A357" s="5" t="inlineStr">
        <is>
          <t>Celine Song</t>
        </is>
      </c>
      <c r="B357" s="5" t="inlineStr">
        <is>
          <t>T5</t>
        </is>
      </c>
      <c r="C357" s="5" t="inlineStr">
        <is>
          <t>Breakout</t>
        </is>
      </c>
      <c r="D357" s="5" t="inlineStr">
        <is>
          <t>US/Intl</t>
        </is>
      </c>
      <c r="E357" s="5" t="inlineStr">
        <is>
          <t>Drama</t>
        </is>
      </c>
      <c r="F357" s="5" t="inlineStr">
        <is>
          <t>Prestige drama,Thriller/Mystery</t>
        </is>
      </c>
      <c r="G357" s="5" t="inlineStr">
        <is>
          <t>Low/Mid</t>
        </is>
      </c>
      <c r="H357" s="5" t="inlineStr">
        <is>
          <t>voice-driven</t>
        </is>
      </c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>
        <is>
          <t>Seeded</t>
        </is>
      </c>
      <c r="S357" s="5" t="inlineStr">
        <is>
          <t>2026-01-29</t>
        </is>
      </c>
      <c r="T357" s="5" t="inlineStr">
        <is>
          <t>https://en.wikipedia.org/w/index.php?search=Celine+Song</t>
        </is>
      </c>
      <c r="U357" s="5" t="inlineStr">
        <is>
          <t>https://www.imdb.com/find/?q=Celine+Song&amp;s=nm</t>
        </is>
      </c>
      <c r="AO357" s="19">
        <f>IFERROR(VLOOKUP(AN357,BUDGET_BANDS!$A$2:$C$9,2,FALSE),"")</f>
        <v/>
      </c>
      <c r="AP357" s="19">
        <f>IFERROR(VLOOKUP(AN357,BUDGET_BANDS!$A$2:$C$9,3,FALSE),"")</f>
        <v/>
      </c>
    </row>
    <row r="358">
      <c r="A358" s="5" t="inlineStr">
        <is>
          <t>Chandler Levack</t>
        </is>
      </c>
      <c r="B358" s="5" t="inlineStr">
        <is>
          <t>T5</t>
        </is>
      </c>
      <c r="C358" s="5" t="inlineStr">
        <is>
          <t>Breakout</t>
        </is>
      </c>
      <c r="D358" s="5" t="inlineStr">
        <is>
          <t>US/UK</t>
        </is>
      </c>
      <c r="E358" s="5" t="inlineStr">
        <is>
          <t>Comedy</t>
        </is>
      </c>
      <c r="F358" s="5" t="inlineStr">
        <is>
          <t>Drama</t>
        </is>
      </c>
      <c r="G358" s="5" t="inlineStr">
        <is>
          <t>Low/Mid</t>
        </is>
      </c>
      <c r="H358" s="5" t="inlineStr">
        <is>
          <t>voice-driven</t>
        </is>
      </c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>
        <is>
          <t>Seeded</t>
        </is>
      </c>
      <c r="S358" s="5" t="inlineStr">
        <is>
          <t>2026-01-29</t>
        </is>
      </c>
      <c r="T358" s="5" t="inlineStr">
        <is>
          <t>https://en.wikipedia.org/w/index.php?search=Chandler+Levack</t>
        </is>
      </c>
      <c r="U358" s="5" t="inlineStr">
        <is>
          <t>https://www.imdb.com/find/?q=Chandler+Levack&amp;s=nm</t>
        </is>
      </c>
      <c r="AO358" s="19">
        <f>IFERROR(VLOOKUP(AN358,BUDGET_BANDS!$A$2:$C$9,2,FALSE),"")</f>
        <v/>
      </c>
      <c r="AP358" s="19">
        <f>IFERROR(VLOOKUP(AN358,BUDGET_BANDS!$A$2:$C$9,3,FALSE),"")</f>
        <v/>
      </c>
    </row>
    <row r="359">
      <c r="A359" s="5" t="inlineStr">
        <is>
          <t>Charlotte Regan</t>
        </is>
      </c>
      <c r="B359" s="5" t="inlineStr">
        <is>
          <t>T5</t>
        </is>
      </c>
      <c r="C359" s="5" t="inlineStr">
        <is>
          <t>Breakout</t>
        </is>
      </c>
      <c r="D359" s="5" t="inlineStr">
        <is>
          <t>Intl/US</t>
        </is>
      </c>
      <c r="E359" s="5" t="inlineStr">
        <is>
          <t>Drama</t>
        </is>
      </c>
      <c r="F359" s="5" t="inlineStr">
        <is>
          <t>Prestige drama</t>
        </is>
      </c>
      <c r="G359" s="5" t="inlineStr">
        <is>
          <t>Low/Mid</t>
        </is>
      </c>
      <c r="H359" s="5" t="inlineStr">
        <is>
          <t>voice-driven</t>
        </is>
      </c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>
        <is>
          <t>Seeded</t>
        </is>
      </c>
      <c r="S359" s="5" t="inlineStr">
        <is>
          <t>2026-01-29</t>
        </is>
      </c>
      <c r="T359" s="5" t="inlineStr">
        <is>
          <t>https://en.wikipedia.org/w/index.php?search=Charlotte+Regan</t>
        </is>
      </c>
      <c r="U359" s="5" t="inlineStr">
        <is>
          <t>https://www.imdb.com/find/?q=Charlotte+Regan&amp;s=nm</t>
        </is>
      </c>
      <c r="AO359" s="19">
        <f>IFERROR(VLOOKUP(AN359,BUDGET_BANDS!$A$2:$C$9,2,FALSE),"")</f>
        <v/>
      </c>
      <c r="AP359" s="19">
        <f>IFERROR(VLOOKUP(AN359,BUDGET_BANDS!$A$2:$C$9,3,FALSE),"")</f>
        <v/>
      </c>
    </row>
    <row r="360">
      <c r="A360" s="5" t="inlineStr">
        <is>
          <t>Charlotte Wells</t>
        </is>
      </c>
      <c r="B360" s="5" t="inlineStr">
        <is>
          <t>T5</t>
        </is>
      </c>
      <c r="C360" s="5" t="inlineStr">
        <is>
          <t>Breakout</t>
        </is>
      </c>
      <c r="D360" s="5" t="inlineStr">
        <is>
          <t>US/Intl</t>
        </is>
      </c>
      <c r="E360" s="5" t="inlineStr">
        <is>
          <t>Drama</t>
        </is>
      </c>
      <c r="F360" s="5" t="inlineStr">
        <is>
          <t>Prestige drama,Thriller/Mystery</t>
        </is>
      </c>
      <c r="G360" s="5" t="inlineStr">
        <is>
          <t>Low/Mid</t>
        </is>
      </c>
      <c r="H360" s="5" t="inlineStr">
        <is>
          <t>voice-driven</t>
        </is>
      </c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>
        <is>
          <t>Seeded</t>
        </is>
      </c>
      <c r="S360" s="5" t="inlineStr">
        <is>
          <t>2026-01-29</t>
        </is>
      </c>
      <c r="T360" s="5" t="inlineStr">
        <is>
          <t>https://en.wikipedia.org/w/index.php?search=Charlotte+Wells</t>
        </is>
      </c>
      <c r="U360" s="5" t="inlineStr">
        <is>
          <t>https://www.imdb.com/find/?q=Charlotte+Wells&amp;s=nm</t>
        </is>
      </c>
      <c r="AO360" s="19">
        <f>IFERROR(VLOOKUP(AN360,BUDGET_BANDS!$A$2:$C$9,2,FALSE),"")</f>
        <v/>
      </c>
      <c r="AP360" s="19">
        <f>IFERROR(VLOOKUP(AN360,BUDGET_BANDS!$A$2:$C$9,3,FALSE),"")</f>
        <v/>
      </c>
    </row>
    <row r="361">
      <c r="A361" s="5" t="inlineStr">
        <is>
          <t>Chloe Domont</t>
        </is>
      </c>
      <c r="B361" s="5" t="inlineStr">
        <is>
          <t>T5</t>
        </is>
      </c>
      <c r="C361" s="5" t="inlineStr">
        <is>
          <t>Breakout</t>
        </is>
      </c>
      <c r="D361" s="5" t="inlineStr">
        <is>
          <t>US/Intl</t>
        </is>
      </c>
      <c r="E361" s="5" t="inlineStr">
        <is>
          <t>Drama</t>
        </is>
      </c>
      <c r="F361" s="5" t="inlineStr">
        <is>
          <t>Prestige drama,Thriller/Mystery</t>
        </is>
      </c>
      <c r="G361" s="5" t="inlineStr">
        <is>
          <t>Low/Mid</t>
        </is>
      </c>
      <c r="H361" s="5" t="inlineStr">
        <is>
          <t>voice-driven</t>
        </is>
      </c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>
        <is>
          <t>Seeded</t>
        </is>
      </c>
      <c r="S361" s="5" t="inlineStr">
        <is>
          <t>2026-01-29</t>
        </is>
      </c>
      <c r="T361" s="5" t="inlineStr">
        <is>
          <t>https://en.wikipedia.org/w/index.php?search=Chloe+Domont</t>
        </is>
      </c>
      <c r="U361" s="5" t="inlineStr">
        <is>
          <t>https://www.imdb.com/find/?q=Chloe+Domont&amp;s=nm</t>
        </is>
      </c>
      <c r="AO361" s="19">
        <f>IFERROR(VLOOKUP(AN361,BUDGET_BANDS!$A$2:$C$9,2,FALSE),"")</f>
        <v/>
      </c>
      <c r="AP361" s="19">
        <f>IFERROR(VLOOKUP(AN361,BUDGET_BANDS!$A$2:$C$9,3,FALSE),"")</f>
        <v/>
      </c>
    </row>
    <row r="362">
      <c r="A362" s="5" t="inlineStr">
        <is>
          <t>Chloé Okuno</t>
        </is>
      </c>
      <c r="B362" s="5" t="inlineStr">
        <is>
          <t>T5</t>
        </is>
      </c>
      <c r="C362" s="5" t="inlineStr">
        <is>
          <t>Breakout</t>
        </is>
      </c>
      <c r="D362" s="5" t="inlineStr">
        <is>
          <t>US/Intl</t>
        </is>
      </c>
      <c r="E362" s="5" t="inlineStr">
        <is>
          <t>Drama</t>
        </is>
      </c>
      <c r="F362" s="5" t="inlineStr">
        <is>
          <t>Prestige drama,Thriller/Mystery</t>
        </is>
      </c>
      <c r="G362" s="5" t="inlineStr">
        <is>
          <t>Low/Mid</t>
        </is>
      </c>
      <c r="H362" s="5" t="inlineStr">
        <is>
          <t>voice-driven</t>
        </is>
      </c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>
        <is>
          <t>Seeded</t>
        </is>
      </c>
      <c r="S362" s="5" t="inlineStr">
        <is>
          <t>2026-01-29</t>
        </is>
      </c>
      <c r="T362" s="5" t="inlineStr">
        <is>
          <t>https://en.wikipedia.org/w/index.php?search=Chlo%C3%A9+Okuno</t>
        </is>
      </c>
      <c r="U362" s="5" t="inlineStr">
        <is>
          <t>https://www.imdb.com/find/?q=Chlo%C3%A9+Okuno&amp;s=nm</t>
        </is>
      </c>
      <c r="AO362" s="19">
        <f>IFERROR(VLOOKUP(AN362,BUDGET_BANDS!$A$2:$C$9,2,FALSE),"")</f>
        <v/>
      </c>
      <c r="AP362" s="19">
        <f>IFERROR(VLOOKUP(AN362,BUDGET_BANDS!$A$2:$C$9,3,FALSE),"")</f>
        <v/>
      </c>
    </row>
    <row r="363">
      <c r="A363" s="5" t="inlineStr">
        <is>
          <t>Cooper Raiff</t>
        </is>
      </c>
      <c r="B363" s="5" t="inlineStr">
        <is>
          <t>T5</t>
        </is>
      </c>
      <c r="C363" s="5" t="inlineStr">
        <is>
          <t>Breakout</t>
        </is>
      </c>
      <c r="D363" s="5" t="inlineStr">
        <is>
          <t>Intl/US</t>
        </is>
      </c>
      <c r="E363" s="5" t="inlineStr">
        <is>
          <t>Drama</t>
        </is>
      </c>
      <c r="F363" s="5" t="inlineStr">
        <is>
          <t>Prestige drama</t>
        </is>
      </c>
      <c r="G363" s="5" t="inlineStr">
        <is>
          <t>Low/Mid</t>
        </is>
      </c>
      <c r="H363" s="5" t="inlineStr">
        <is>
          <t>voice-driven</t>
        </is>
      </c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>
        <is>
          <t>Seeded</t>
        </is>
      </c>
      <c r="S363" s="5" t="inlineStr">
        <is>
          <t>2026-01-29</t>
        </is>
      </c>
      <c r="T363" s="5" t="inlineStr">
        <is>
          <t>https://en.wikipedia.org/w/index.php?search=Cooper+Raiff</t>
        </is>
      </c>
      <c r="U363" s="5" t="inlineStr">
        <is>
          <t>https://www.imdb.com/find/?q=Cooper+Raiff&amp;s=nm</t>
        </is>
      </c>
      <c r="AO363" s="19">
        <f>IFERROR(VLOOKUP(AN363,BUDGET_BANDS!$A$2:$C$9,2,FALSE),"")</f>
        <v/>
      </c>
      <c r="AP363" s="19">
        <f>IFERROR(VLOOKUP(AN363,BUDGET_BANDS!$A$2:$C$9,3,FALSE),"")</f>
        <v/>
      </c>
    </row>
    <row r="364">
      <c r="A364" s="5" t="inlineStr">
        <is>
          <t>Cord Jefferson</t>
        </is>
      </c>
      <c r="B364" s="5" t="inlineStr">
        <is>
          <t>T5</t>
        </is>
      </c>
      <c r="C364" s="5" t="inlineStr">
        <is>
          <t>Breakout</t>
        </is>
      </c>
      <c r="D364" s="5" t="inlineStr">
        <is>
          <t>US/UK</t>
        </is>
      </c>
      <c r="E364" s="5" t="inlineStr">
        <is>
          <t>Comedy</t>
        </is>
      </c>
      <c r="F364" s="5" t="inlineStr">
        <is>
          <t>Drama</t>
        </is>
      </c>
      <c r="G364" s="5" t="inlineStr">
        <is>
          <t>Low/Mid</t>
        </is>
      </c>
      <c r="H364" s="5" t="inlineStr">
        <is>
          <t>voice-driven</t>
        </is>
      </c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>
        <is>
          <t>Seeded</t>
        </is>
      </c>
      <c r="S364" s="5" t="inlineStr">
        <is>
          <t>2026-01-29</t>
        </is>
      </c>
      <c r="T364" s="5" t="inlineStr">
        <is>
          <t>https://en.wikipedia.org/w/index.php?search=Cord+Jefferson</t>
        </is>
      </c>
      <c r="U364" s="5" t="inlineStr">
        <is>
          <t>https://www.imdb.com/find/?q=Cord+Jefferson&amp;s=nm</t>
        </is>
      </c>
      <c r="AO364" s="19">
        <f>IFERROR(VLOOKUP(AN364,BUDGET_BANDS!$A$2:$C$9,2,FALSE),"")</f>
        <v/>
      </c>
      <c r="AP364" s="19">
        <f>IFERROR(VLOOKUP(AN364,BUDGET_BANDS!$A$2:$C$9,3,FALSE),"")</f>
        <v/>
      </c>
    </row>
    <row r="365">
      <c r="A365" s="5" t="inlineStr">
        <is>
          <t>Cory Finley</t>
        </is>
      </c>
      <c r="B365" s="5" t="inlineStr">
        <is>
          <t>T5</t>
        </is>
      </c>
      <c r="C365" s="5" t="inlineStr">
        <is>
          <t>Breakout</t>
        </is>
      </c>
      <c r="D365" s="5" t="inlineStr">
        <is>
          <t>US/Intl</t>
        </is>
      </c>
      <c r="E365" s="5" t="inlineStr">
        <is>
          <t>Drama</t>
        </is>
      </c>
      <c r="F365" s="5" t="inlineStr">
        <is>
          <t>Prestige drama,Thriller/Mystery</t>
        </is>
      </c>
      <c r="G365" s="5" t="inlineStr">
        <is>
          <t>Low/Mid</t>
        </is>
      </c>
      <c r="H365" s="5" t="inlineStr">
        <is>
          <t>voice-driven</t>
        </is>
      </c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>
        <is>
          <t>Seeded</t>
        </is>
      </c>
      <c r="S365" s="5" t="inlineStr">
        <is>
          <t>2026-01-29</t>
        </is>
      </c>
      <c r="T365" s="5" t="inlineStr">
        <is>
          <t>https://en.wikipedia.org/w/index.php?search=Cory+Finley</t>
        </is>
      </c>
      <c r="U365" s="5" t="inlineStr">
        <is>
          <t>https://www.imdb.com/find/?q=Cory+Finley&amp;s=nm</t>
        </is>
      </c>
      <c r="AO365" s="19">
        <f>IFERROR(VLOOKUP(AN365,BUDGET_BANDS!$A$2:$C$9,2,FALSE),"")</f>
        <v/>
      </c>
      <c r="AP365" s="19">
        <f>IFERROR(VLOOKUP(AN365,BUDGET_BANDS!$A$2:$C$9,3,FALSE),"")</f>
        <v/>
      </c>
    </row>
    <row r="366">
      <c r="A366" s="5" t="inlineStr">
        <is>
          <t>Daina O. Pusic</t>
        </is>
      </c>
      <c r="B366" s="5" t="inlineStr">
        <is>
          <t>T5</t>
        </is>
      </c>
      <c r="C366" s="5" t="inlineStr">
        <is>
          <t>Breakout</t>
        </is>
      </c>
      <c r="D366" s="5" t="inlineStr">
        <is>
          <t>US/Intl</t>
        </is>
      </c>
      <c r="E366" s="5" t="inlineStr">
        <is>
          <t>Drama</t>
        </is>
      </c>
      <c r="F366" s="5" t="inlineStr">
        <is>
          <t>Prestige drama,Thriller/Mystery</t>
        </is>
      </c>
      <c r="G366" s="5" t="inlineStr">
        <is>
          <t>Low/Mid</t>
        </is>
      </c>
      <c r="H366" s="5" t="inlineStr">
        <is>
          <t>voice-driven</t>
        </is>
      </c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>
        <is>
          <t>Seeded</t>
        </is>
      </c>
      <c r="S366" s="5" t="inlineStr">
        <is>
          <t>2026-01-29</t>
        </is>
      </c>
      <c r="T366" s="5" t="inlineStr">
        <is>
          <t>https://en.wikipedia.org/w/index.php?search=Daina+O.+Pusic</t>
        </is>
      </c>
      <c r="U366" s="5" t="inlineStr">
        <is>
          <t>https://www.imdb.com/find/?q=Daina+O.+Pusic&amp;s=nm</t>
        </is>
      </c>
      <c r="AO366" s="19">
        <f>IFERROR(VLOOKUP(AN366,BUDGET_BANDS!$A$2:$C$9,2,FALSE),"")</f>
        <v/>
      </c>
      <c r="AP366" s="19">
        <f>IFERROR(VLOOKUP(AN366,BUDGET_BANDS!$A$2:$C$9,3,FALSE),"")</f>
        <v/>
      </c>
    </row>
    <row r="367">
      <c r="A367" s="5" t="inlineStr">
        <is>
          <t>Daniel Kwan</t>
        </is>
      </c>
      <c r="B367" s="5" t="inlineStr">
        <is>
          <t>T5</t>
        </is>
      </c>
      <c r="C367" s="5" t="inlineStr">
        <is>
          <t>Breakout</t>
        </is>
      </c>
      <c r="D367" s="5" t="inlineStr">
        <is>
          <t>US/Intl</t>
        </is>
      </c>
      <c r="E367" s="5" t="inlineStr">
        <is>
          <t>Drama</t>
        </is>
      </c>
      <c r="F367" s="5" t="inlineStr">
        <is>
          <t>Prestige drama,Thriller/Mystery</t>
        </is>
      </c>
      <c r="G367" s="5" t="inlineStr">
        <is>
          <t>Low/Mid</t>
        </is>
      </c>
      <c r="H367" s="5" t="inlineStr">
        <is>
          <t>voice-driven</t>
        </is>
      </c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>
        <is>
          <t>Seeded</t>
        </is>
      </c>
      <c r="S367" s="5" t="inlineStr">
        <is>
          <t>2026-01-29</t>
        </is>
      </c>
      <c r="T367" s="5" t="inlineStr">
        <is>
          <t>https://en.wikipedia.org/w/index.php?search=Daniel+Kwan</t>
        </is>
      </c>
      <c r="U367" s="5" t="inlineStr">
        <is>
          <t>https://www.imdb.com/find/?q=Daniel+Kwan&amp;s=nm</t>
        </is>
      </c>
      <c r="AO367" s="19">
        <f>IFERROR(VLOOKUP(AN367,BUDGET_BANDS!$A$2:$C$9,2,FALSE),"")</f>
        <v/>
      </c>
      <c r="AP367" s="19">
        <f>IFERROR(VLOOKUP(AN367,BUDGET_BANDS!$A$2:$C$9,3,FALSE),"")</f>
        <v/>
      </c>
    </row>
    <row r="368">
      <c r="A368" s="5" t="inlineStr">
        <is>
          <t>Daniel Scheinert</t>
        </is>
      </c>
      <c r="B368" s="5" t="inlineStr">
        <is>
          <t>T5</t>
        </is>
      </c>
      <c r="C368" s="5" t="inlineStr">
        <is>
          <t>Breakout</t>
        </is>
      </c>
      <c r="D368" s="5" t="inlineStr">
        <is>
          <t>US/Intl</t>
        </is>
      </c>
      <c r="E368" s="5" t="inlineStr">
        <is>
          <t>Drama</t>
        </is>
      </c>
      <c r="F368" s="5" t="inlineStr">
        <is>
          <t>Prestige drama,Thriller/Mystery</t>
        </is>
      </c>
      <c r="G368" s="5" t="inlineStr">
        <is>
          <t>Low/Mid</t>
        </is>
      </c>
      <c r="H368" s="5" t="inlineStr">
        <is>
          <t>voice-driven</t>
        </is>
      </c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>
        <is>
          <t>Seeded</t>
        </is>
      </c>
      <c r="S368" s="5" t="inlineStr">
        <is>
          <t>2026-01-29</t>
        </is>
      </c>
      <c r="T368" s="5" t="inlineStr">
        <is>
          <t>https://en.wikipedia.org/w/index.php?search=Daniel+Scheinert</t>
        </is>
      </c>
      <c r="U368" s="5" t="inlineStr">
        <is>
          <t>https://www.imdb.com/find/?q=Daniel+Scheinert&amp;s=nm</t>
        </is>
      </c>
      <c r="AO368" s="19">
        <f>IFERROR(VLOOKUP(AN368,BUDGET_BANDS!$A$2:$C$9,2,FALSE),"")</f>
        <v/>
      </c>
      <c r="AP368" s="19">
        <f>IFERROR(VLOOKUP(AN368,BUDGET_BANDS!$A$2:$C$9,3,FALSE),"")</f>
        <v/>
      </c>
    </row>
    <row r="369">
      <c r="A369" s="5" t="inlineStr">
        <is>
          <t>Danny Philippou</t>
        </is>
      </c>
      <c r="B369" s="5" t="inlineStr">
        <is>
          <t>T5</t>
        </is>
      </c>
      <c r="C369" s="5" t="inlineStr">
        <is>
          <t>Breakout</t>
        </is>
      </c>
      <c r="D369" s="5" t="inlineStr">
        <is>
          <t>US/Intl</t>
        </is>
      </c>
      <c r="E369" s="5" t="inlineStr">
        <is>
          <t>Horror</t>
        </is>
      </c>
      <c r="F369" s="5" t="inlineStr">
        <is>
          <t>Thriller/Mystery</t>
        </is>
      </c>
      <c r="G369" s="5" t="inlineStr">
        <is>
          <t>Low</t>
        </is>
      </c>
      <c r="H369" s="5" t="inlineStr">
        <is>
          <t>fresh, high-concept</t>
        </is>
      </c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>
        <is>
          <t>Seeded</t>
        </is>
      </c>
      <c r="S369" s="5" t="inlineStr">
        <is>
          <t>2026-01-29</t>
        </is>
      </c>
      <c r="T369" s="5" t="inlineStr">
        <is>
          <t>https://en.wikipedia.org/w/index.php?search=Danny+Philippou</t>
        </is>
      </c>
      <c r="U369" s="5" t="inlineStr">
        <is>
          <t>https://www.imdb.com/find/?q=Danny+Philippou&amp;s=nm</t>
        </is>
      </c>
      <c r="AO369" s="19">
        <f>IFERROR(VLOOKUP(AN369,BUDGET_BANDS!$A$2:$C$9,2,FALSE),"")</f>
        <v/>
      </c>
      <c r="AP369" s="19">
        <f>IFERROR(VLOOKUP(AN369,BUDGET_BANDS!$A$2:$C$9,3,FALSE),"")</f>
        <v/>
      </c>
    </row>
    <row r="370">
      <c r="A370" s="5" t="inlineStr">
        <is>
          <t>Darius Marder</t>
        </is>
      </c>
      <c r="B370" s="5" t="inlineStr">
        <is>
          <t>T5</t>
        </is>
      </c>
      <c r="C370" s="5" t="inlineStr">
        <is>
          <t>Breakout</t>
        </is>
      </c>
      <c r="D370" s="5" t="inlineStr">
        <is>
          <t>Intl/US</t>
        </is>
      </c>
      <c r="E370" s="5" t="inlineStr">
        <is>
          <t>Drama</t>
        </is>
      </c>
      <c r="F370" s="5" t="inlineStr">
        <is>
          <t>Prestige drama</t>
        </is>
      </c>
      <c r="G370" s="5" t="inlineStr">
        <is>
          <t>Low/Mid</t>
        </is>
      </c>
      <c r="H370" s="5" t="inlineStr">
        <is>
          <t>voice-driven</t>
        </is>
      </c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>
        <is>
          <t>Seeded</t>
        </is>
      </c>
      <c r="S370" s="5" t="inlineStr">
        <is>
          <t>2026-01-29</t>
        </is>
      </c>
      <c r="T370" s="5" t="inlineStr">
        <is>
          <t>https://en.wikipedia.org/w/index.php?search=Darius+Marder</t>
        </is>
      </c>
      <c r="U370" s="5" t="inlineStr">
        <is>
          <t>https://www.imdb.com/find/?q=Darius+Marder&amp;s=nm</t>
        </is>
      </c>
      <c r="AO370" s="19">
        <f>IFERROR(VLOOKUP(AN370,BUDGET_BANDS!$A$2:$C$9,2,FALSE),"")</f>
        <v/>
      </c>
      <c r="AP370" s="19">
        <f>IFERROR(VLOOKUP(AN370,BUDGET_BANDS!$A$2:$C$9,3,FALSE),"")</f>
        <v/>
      </c>
    </row>
    <row r="371">
      <c r="A371" s="5" t="inlineStr">
        <is>
          <t>Dave Green</t>
        </is>
      </c>
      <c r="B371" s="5" t="inlineStr">
        <is>
          <t>T5</t>
        </is>
      </c>
      <c r="C371" s="5" t="inlineStr">
        <is>
          <t>Breakout</t>
        </is>
      </c>
      <c r="D371" s="5" t="inlineStr">
        <is>
          <t>US/UK</t>
        </is>
      </c>
      <c r="E371" s="5" t="inlineStr">
        <is>
          <t>Comedy</t>
        </is>
      </c>
      <c r="F371" s="5" t="inlineStr">
        <is>
          <t>Drama</t>
        </is>
      </c>
      <c r="G371" s="5" t="inlineStr">
        <is>
          <t>Low/Mid</t>
        </is>
      </c>
      <c r="H371" s="5" t="inlineStr">
        <is>
          <t>voice-driven</t>
        </is>
      </c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>
        <is>
          <t>Seeded</t>
        </is>
      </c>
      <c r="S371" s="5" t="inlineStr">
        <is>
          <t>2026-01-29</t>
        </is>
      </c>
      <c r="T371" s="5" t="inlineStr">
        <is>
          <t>https://en.wikipedia.org/w/index.php?search=Dave+Green</t>
        </is>
      </c>
      <c r="U371" s="5" t="inlineStr">
        <is>
          <t>https://www.imdb.com/find/?q=Dave+Green&amp;s=nm</t>
        </is>
      </c>
      <c r="AO371" s="19">
        <f>IFERROR(VLOOKUP(AN371,BUDGET_BANDS!$A$2:$C$9,2,FALSE),"")</f>
        <v/>
      </c>
      <c r="AP371" s="19">
        <f>IFERROR(VLOOKUP(AN371,BUDGET_BANDS!$A$2:$C$9,3,FALSE),"")</f>
        <v/>
      </c>
    </row>
    <row r="372">
      <c r="A372" s="5" t="inlineStr">
        <is>
          <t>David Gordon Green</t>
        </is>
      </c>
      <c r="B372" s="5" t="inlineStr">
        <is>
          <t>T5</t>
        </is>
      </c>
      <c r="C372" s="5" t="inlineStr">
        <is>
          <t>Breakout</t>
        </is>
      </c>
      <c r="D372" s="5" t="inlineStr">
        <is>
          <t>Intl/US</t>
        </is>
      </c>
      <c r="E372" s="5" t="inlineStr">
        <is>
          <t>Drama</t>
        </is>
      </c>
      <c r="F372" s="5" t="inlineStr">
        <is>
          <t>Prestige drama</t>
        </is>
      </c>
      <c r="G372" s="5" t="inlineStr">
        <is>
          <t>Low/Mid</t>
        </is>
      </c>
      <c r="H372" s="5" t="inlineStr">
        <is>
          <t>voice-driven</t>
        </is>
      </c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>
        <is>
          <t>Seeded</t>
        </is>
      </c>
      <c r="S372" s="5" t="inlineStr">
        <is>
          <t>2026-01-29</t>
        </is>
      </c>
      <c r="T372" s="5" t="inlineStr">
        <is>
          <t>https://en.wikipedia.org/w/index.php?search=David+Gordon+Green</t>
        </is>
      </c>
      <c r="U372" s="5" t="inlineStr">
        <is>
          <t>https://www.imdb.com/find/?q=David+Gordon+Green&amp;s=nm</t>
        </is>
      </c>
      <c r="AO372" s="19">
        <f>IFERROR(VLOOKUP(AN372,BUDGET_BANDS!$A$2:$C$9,2,FALSE),"")</f>
        <v/>
      </c>
      <c r="AP372" s="19">
        <f>IFERROR(VLOOKUP(AN372,BUDGET_BANDS!$A$2:$C$9,3,FALSE),"")</f>
        <v/>
      </c>
    </row>
    <row r="373">
      <c r="A373" s="5" t="inlineStr">
        <is>
          <t>Demian Rugna</t>
        </is>
      </c>
      <c r="B373" s="5" t="inlineStr">
        <is>
          <t>T5</t>
        </is>
      </c>
      <c r="C373" s="5" t="inlineStr">
        <is>
          <t>Breakout</t>
        </is>
      </c>
      <c r="D373" s="5" t="inlineStr">
        <is>
          <t>US/Intl</t>
        </is>
      </c>
      <c r="E373" s="5" t="inlineStr">
        <is>
          <t>Horror</t>
        </is>
      </c>
      <c r="F373" s="5" t="inlineStr">
        <is>
          <t>Thriller/Mystery</t>
        </is>
      </c>
      <c r="G373" s="5" t="inlineStr">
        <is>
          <t>Low</t>
        </is>
      </c>
      <c r="H373" s="5" t="inlineStr">
        <is>
          <t>fresh, high-concept</t>
        </is>
      </c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>
        <is>
          <t>Seeded</t>
        </is>
      </c>
      <c r="S373" s="5" t="inlineStr">
        <is>
          <t>2026-01-29</t>
        </is>
      </c>
      <c r="T373" s="5" t="inlineStr">
        <is>
          <t>https://en.wikipedia.org/w/index.php?search=Demian+Rugna</t>
        </is>
      </c>
      <c r="U373" s="5" t="inlineStr">
        <is>
          <t>https://www.imdb.com/find/?q=Demian+Rugna&amp;s=nm</t>
        </is>
      </c>
      <c r="AO373" s="19">
        <f>IFERROR(VLOOKUP(AN373,BUDGET_BANDS!$A$2:$C$9,2,FALSE),"")</f>
        <v/>
      </c>
      <c r="AP373" s="19">
        <f>IFERROR(VLOOKUP(AN373,BUDGET_BANDS!$A$2:$C$9,3,FALSE),"")</f>
        <v/>
      </c>
    </row>
    <row r="374">
      <c r="A374" s="5" t="inlineStr">
        <is>
          <t>Derek Cianfrance</t>
        </is>
      </c>
      <c r="B374" s="5" t="inlineStr">
        <is>
          <t>T5</t>
        </is>
      </c>
      <c r="C374" s="5" t="inlineStr">
        <is>
          <t>Breakout</t>
        </is>
      </c>
      <c r="D374" s="5" t="inlineStr">
        <is>
          <t>Intl/US</t>
        </is>
      </c>
      <c r="E374" s="5" t="inlineStr">
        <is>
          <t>Drama</t>
        </is>
      </c>
      <c r="F374" s="5" t="inlineStr">
        <is>
          <t>Prestige drama</t>
        </is>
      </c>
      <c r="G374" s="5" t="inlineStr">
        <is>
          <t>Low/Mid</t>
        </is>
      </c>
      <c r="H374" s="5" t="inlineStr">
        <is>
          <t>voice-driven</t>
        </is>
      </c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>
        <is>
          <t>Seeded</t>
        </is>
      </c>
      <c r="S374" s="5" t="inlineStr">
        <is>
          <t>2026-01-29</t>
        </is>
      </c>
      <c r="T374" s="5" t="inlineStr">
        <is>
          <t>https://en.wikipedia.org/w/index.php?search=Derek+Cianfrance</t>
        </is>
      </c>
      <c r="U374" s="5" t="inlineStr">
        <is>
          <t>https://www.imdb.com/find/?q=Derek+Cianfrance&amp;s=nm</t>
        </is>
      </c>
      <c r="AO374" s="19">
        <f>IFERROR(VLOOKUP(AN374,BUDGET_BANDS!$A$2:$C$9,2,FALSE),"")</f>
        <v/>
      </c>
      <c r="AP374" s="19">
        <f>IFERROR(VLOOKUP(AN374,BUDGET_BANDS!$A$2:$C$9,3,FALSE),"")</f>
        <v/>
      </c>
    </row>
    <row r="375">
      <c r="A375" s="5" t="inlineStr">
        <is>
          <t>Emma Seligman</t>
        </is>
      </c>
      <c r="B375" s="5" t="inlineStr">
        <is>
          <t>T5</t>
        </is>
      </c>
      <c r="C375" s="5" t="inlineStr">
        <is>
          <t>Breakout</t>
        </is>
      </c>
      <c r="D375" s="5" t="inlineStr">
        <is>
          <t>US/UK</t>
        </is>
      </c>
      <c r="E375" s="5" t="inlineStr">
        <is>
          <t>Comedy</t>
        </is>
      </c>
      <c r="F375" s="5" t="inlineStr">
        <is>
          <t>Drama</t>
        </is>
      </c>
      <c r="G375" s="5" t="inlineStr">
        <is>
          <t>Low/Mid</t>
        </is>
      </c>
      <c r="H375" s="5" t="inlineStr">
        <is>
          <t>voice-driven</t>
        </is>
      </c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>
        <is>
          <t>Seeded</t>
        </is>
      </c>
      <c r="S375" s="5" t="inlineStr">
        <is>
          <t>2026-01-29</t>
        </is>
      </c>
      <c r="T375" s="5" t="inlineStr">
        <is>
          <t>https://en.wikipedia.org/w/index.php?search=Emma+Seligman</t>
        </is>
      </c>
      <c r="U375" s="5" t="inlineStr">
        <is>
          <t>https://www.imdb.com/find/?q=Emma+Seligman&amp;s=nm</t>
        </is>
      </c>
      <c r="AO375" s="19">
        <f>IFERROR(VLOOKUP(AN375,BUDGET_BANDS!$A$2:$C$9,2,FALSE),"")</f>
        <v/>
      </c>
      <c r="AP375" s="19">
        <f>IFERROR(VLOOKUP(AN375,BUDGET_BANDS!$A$2:$C$9,3,FALSE),"")</f>
        <v/>
      </c>
    </row>
    <row r="376">
      <c r="A376" s="5" t="inlineStr">
        <is>
          <t>Emma Tammi</t>
        </is>
      </c>
      <c r="B376" s="5" t="inlineStr">
        <is>
          <t>T5</t>
        </is>
      </c>
      <c r="C376" s="5" t="inlineStr">
        <is>
          <t>Breakout</t>
        </is>
      </c>
      <c r="D376" s="5" t="inlineStr">
        <is>
          <t>US/Intl</t>
        </is>
      </c>
      <c r="E376" s="5" t="inlineStr">
        <is>
          <t>Drama</t>
        </is>
      </c>
      <c r="F376" s="5" t="inlineStr">
        <is>
          <t>Prestige drama,Thriller/Mystery</t>
        </is>
      </c>
      <c r="G376" s="5" t="inlineStr">
        <is>
          <t>Low/Mid</t>
        </is>
      </c>
      <c r="H376" s="5" t="inlineStr">
        <is>
          <t>voice-driven</t>
        </is>
      </c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>
        <is>
          <t>Seeded</t>
        </is>
      </c>
      <c r="S376" s="5" t="inlineStr">
        <is>
          <t>2026-01-29</t>
        </is>
      </c>
      <c r="T376" s="5" t="inlineStr">
        <is>
          <t>https://en.wikipedia.org/w/index.php?search=Emma+Tammi</t>
        </is>
      </c>
      <c r="U376" s="5" t="inlineStr">
        <is>
          <t>https://www.imdb.com/find/?q=Emma+Tammi&amp;s=nm</t>
        </is>
      </c>
      <c r="AO376" s="19">
        <f>IFERROR(VLOOKUP(AN376,BUDGET_BANDS!$A$2:$C$9,2,FALSE),"")</f>
        <v/>
      </c>
      <c r="AP376" s="19">
        <f>IFERROR(VLOOKUP(AN376,BUDGET_BANDS!$A$2:$C$9,3,FALSE),"")</f>
        <v/>
      </c>
    </row>
    <row r="377">
      <c r="A377" s="5" t="inlineStr">
        <is>
          <t>Florian Zeller</t>
        </is>
      </c>
      <c r="B377" s="5" t="inlineStr">
        <is>
          <t>T5</t>
        </is>
      </c>
      <c r="C377" s="5" t="inlineStr">
        <is>
          <t>Breakout</t>
        </is>
      </c>
      <c r="D377" s="5" t="inlineStr">
        <is>
          <t>Intl/US</t>
        </is>
      </c>
      <c r="E377" s="5" t="inlineStr">
        <is>
          <t>Drama</t>
        </is>
      </c>
      <c r="F377" s="5" t="inlineStr">
        <is>
          <t>Prestige drama</t>
        </is>
      </c>
      <c r="G377" s="5" t="inlineStr">
        <is>
          <t>Low/Mid</t>
        </is>
      </c>
      <c r="H377" s="5" t="inlineStr">
        <is>
          <t>voice-driven</t>
        </is>
      </c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>
        <is>
          <t>Seeded</t>
        </is>
      </c>
      <c r="S377" s="5" t="inlineStr">
        <is>
          <t>2026-01-29</t>
        </is>
      </c>
      <c r="T377" s="5" t="inlineStr">
        <is>
          <t>https://en.wikipedia.org/w/index.php?search=Florian+Zeller</t>
        </is>
      </c>
      <c r="U377" s="5" t="inlineStr">
        <is>
          <t>https://www.imdb.com/find/?q=Florian+Zeller&amp;s=nm</t>
        </is>
      </c>
      <c r="AO377" s="19">
        <f>IFERROR(VLOOKUP(AN377,BUDGET_BANDS!$A$2:$C$9,2,FALSE),"")</f>
        <v/>
      </c>
      <c r="AP377" s="19">
        <f>IFERROR(VLOOKUP(AN377,BUDGET_BANDS!$A$2:$C$9,3,FALSE),"")</f>
        <v/>
      </c>
    </row>
    <row r="378">
      <c r="A378" s="5" t="inlineStr">
        <is>
          <t>Fran Kranz</t>
        </is>
      </c>
      <c r="B378" s="5" t="inlineStr">
        <is>
          <t>T5</t>
        </is>
      </c>
      <c r="C378" s="5" t="inlineStr">
        <is>
          <t>Breakout</t>
        </is>
      </c>
      <c r="D378" s="5" t="inlineStr">
        <is>
          <t>US/Intl</t>
        </is>
      </c>
      <c r="E378" s="5" t="inlineStr">
        <is>
          <t>Drama</t>
        </is>
      </c>
      <c r="F378" s="5" t="inlineStr">
        <is>
          <t>Prestige drama,Thriller/Mystery</t>
        </is>
      </c>
      <c r="G378" s="5" t="inlineStr">
        <is>
          <t>Low/Mid</t>
        </is>
      </c>
      <c r="H378" s="5" t="inlineStr">
        <is>
          <t>voice-driven</t>
        </is>
      </c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>
        <is>
          <t>Seeded</t>
        </is>
      </c>
      <c r="S378" s="5" t="inlineStr">
        <is>
          <t>2026-01-29</t>
        </is>
      </c>
      <c r="T378" s="5" t="inlineStr">
        <is>
          <t>https://en.wikipedia.org/w/index.php?search=Fran+Kranz</t>
        </is>
      </c>
      <c r="U378" s="5" t="inlineStr">
        <is>
          <t>https://www.imdb.com/find/?q=Fran+Kranz&amp;s=nm</t>
        </is>
      </c>
      <c r="AO378" s="19">
        <f>IFERROR(VLOOKUP(AN378,BUDGET_BANDS!$A$2:$C$9,2,FALSE),"")</f>
        <v/>
      </c>
      <c r="AP378" s="19">
        <f>IFERROR(VLOOKUP(AN378,BUDGET_BANDS!$A$2:$C$9,3,FALSE),"")</f>
        <v/>
      </c>
    </row>
    <row r="379">
      <c r="A379" s="5" t="inlineStr">
        <is>
          <t>Georgia Oakley</t>
        </is>
      </c>
      <c r="B379" s="5" t="inlineStr">
        <is>
          <t>T5</t>
        </is>
      </c>
      <c r="C379" s="5" t="inlineStr">
        <is>
          <t>Breakout</t>
        </is>
      </c>
      <c r="D379" s="5" t="inlineStr">
        <is>
          <t>US/Intl</t>
        </is>
      </c>
      <c r="E379" s="5" t="inlineStr">
        <is>
          <t>Drama</t>
        </is>
      </c>
      <c r="F379" s="5" t="inlineStr">
        <is>
          <t>Prestige drama,Thriller/Mystery</t>
        </is>
      </c>
      <c r="G379" s="5" t="inlineStr">
        <is>
          <t>Low/Mid</t>
        </is>
      </c>
      <c r="H379" s="5" t="inlineStr">
        <is>
          <t>voice-driven</t>
        </is>
      </c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>
        <is>
          <t>Seeded</t>
        </is>
      </c>
      <c r="S379" s="5" t="inlineStr">
        <is>
          <t>2026-01-29</t>
        </is>
      </c>
      <c r="T379" s="5" t="inlineStr">
        <is>
          <t>https://en.wikipedia.org/w/index.php?search=Georgia+Oakley</t>
        </is>
      </c>
      <c r="U379" s="5" t="inlineStr">
        <is>
          <t>https://www.imdb.com/find/?q=Georgia+Oakley&amp;s=nm</t>
        </is>
      </c>
      <c r="AO379" s="19">
        <f>IFERROR(VLOOKUP(AN379,BUDGET_BANDS!$A$2:$C$9,2,FALSE),"")</f>
        <v/>
      </c>
      <c r="AP379" s="19">
        <f>IFERROR(VLOOKUP(AN379,BUDGET_BANDS!$A$2:$C$9,3,FALSE),"")</f>
        <v/>
      </c>
    </row>
    <row r="380">
      <c r="A380" s="5" t="inlineStr">
        <is>
          <t>Gigi Saul Guerrero</t>
        </is>
      </c>
      <c r="B380" s="5" t="inlineStr">
        <is>
          <t>T5</t>
        </is>
      </c>
      <c r="C380" s="5" t="inlineStr">
        <is>
          <t>Breakout</t>
        </is>
      </c>
      <c r="D380" s="5" t="inlineStr">
        <is>
          <t>US/Intl</t>
        </is>
      </c>
      <c r="E380" s="5" t="inlineStr">
        <is>
          <t>Horror</t>
        </is>
      </c>
      <c r="F380" s="5" t="inlineStr">
        <is>
          <t>Thriller/Mystery</t>
        </is>
      </c>
      <c r="G380" s="5" t="inlineStr">
        <is>
          <t>Low</t>
        </is>
      </c>
      <c r="H380" s="5" t="inlineStr">
        <is>
          <t>fresh, high-concept</t>
        </is>
      </c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>
        <is>
          <t>Seeded</t>
        </is>
      </c>
      <c r="S380" s="5" t="inlineStr">
        <is>
          <t>2026-01-29</t>
        </is>
      </c>
      <c r="T380" s="5" t="inlineStr">
        <is>
          <t>https://en.wikipedia.org/w/index.php?search=Gigi+Saul+Guerrero</t>
        </is>
      </c>
      <c r="U380" s="5" t="inlineStr">
        <is>
          <t>https://www.imdb.com/find/?q=Gigi+Saul+Guerrero&amp;s=nm</t>
        </is>
      </c>
      <c r="AO380" s="19">
        <f>IFERROR(VLOOKUP(AN380,BUDGET_BANDS!$A$2:$C$9,2,FALSE),"")</f>
        <v/>
      </c>
      <c r="AP380" s="19">
        <f>IFERROR(VLOOKUP(AN380,BUDGET_BANDS!$A$2:$C$9,3,FALSE),"")</f>
        <v/>
      </c>
    </row>
    <row r="381">
      <c r="A381" s="5" t="inlineStr">
        <is>
          <t>Iryna Tsilyk</t>
        </is>
      </c>
      <c r="B381" s="5" t="inlineStr">
        <is>
          <t>T5</t>
        </is>
      </c>
      <c r="C381" s="5" t="inlineStr">
        <is>
          <t>Breakout</t>
        </is>
      </c>
      <c r="D381" s="5" t="inlineStr">
        <is>
          <t>Intl/US</t>
        </is>
      </c>
      <c r="E381" s="5" t="inlineStr">
        <is>
          <t>Drama</t>
        </is>
      </c>
      <c r="F381" s="5" t="inlineStr">
        <is>
          <t>Prestige drama</t>
        </is>
      </c>
      <c r="G381" s="5" t="inlineStr">
        <is>
          <t>Low/Mid</t>
        </is>
      </c>
      <c r="H381" s="5" t="inlineStr">
        <is>
          <t>voice-driven</t>
        </is>
      </c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>
        <is>
          <t>Seeded</t>
        </is>
      </c>
      <c r="S381" s="5" t="inlineStr">
        <is>
          <t>2026-01-29</t>
        </is>
      </c>
      <c r="T381" s="5" t="inlineStr">
        <is>
          <t>https://en.wikipedia.org/w/index.php?search=Iryna+Tsilyk</t>
        </is>
      </c>
      <c r="U381" s="5" t="inlineStr">
        <is>
          <t>https://www.imdb.com/find/?q=Iryna+Tsilyk&amp;s=nm</t>
        </is>
      </c>
      <c r="AO381" s="19">
        <f>IFERROR(VLOOKUP(AN381,BUDGET_BANDS!$A$2:$C$9,2,FALSE),"")</f>
        <v/>
      </c>
      <c r="AP381" s="19">
        <f>IFERROR(VLOOKUP(AN381,BUDGET_BANDS!$A$2:$C$9,3,FALSE),"")</f>
        <v/>
      </c>
    </row>
    <row r="382">
      <c r="A382" s="5" t="inlineStr">
        <is>
          <t>Jane Schoenbrun</t>
        </is>
      </c>
      <c r="B382" s="5" t="inlineStr">
        <is>
          <t>T5</t>
        </is>
      </c>
      <c r="C382" s="5" t="inlineStr">
        <is>
          <t>Breakout</t>
        </is>
      </c>
      <c r="D382" s="5" t="inlineStr">
        <is>
          <t>US/Intl</t>
        </is>
      </c>
      <c r="E382" s="5" t="inlineStr">
        <is>
          <t>Drama</t>
        </is>
      </c>
      <c r="F382" s="5" t="inlineStr">
        <is>
          <t>Prestige drama,Thriller/Mystery</t>
        </is>
      </c>
      <c r="G382" s="5" t="inlineStr">
        <is>
          <t>Low/Mid</t>
        </is>
      </c>
      <c r="H382" s="5" t="inlineStr">
        <is>
          <t>voice-driven</t>
        </is>
      </c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>
        <is>
          <t>Seeded</t>
        </is>
      </c>
      <c r="S382" s="5" t="inlineStr">
        <is>
          <t>2026-01-29</t>
        </is>
      </c>
      <c r="T382" s="5" t="inlineStr">
        <is>
          <t>https://en.wikipedia.org/w/index.php?search=Jane+Schoenbrun</t>
        </is>
      </c>
      <c r="U382" s="5" t="inlineStr">
        <is>
          <t>https://www.imdb.com/find/?q=Jane+Schoenbrun&amp;s=nm</t>
        </is>
      </c>
      <c r="AO382" s="19">
        <f>IFERROR(VLOOKUP(AN382,BUDGET_BANDS!$A$2:$C$9,2,FALSE),"")</f>
        <v/>
      </c>
      <c r="AP382" s="19">
        <f>IFERROR(VLOOKUP(AN382,BUDGET_BANDS!$A$2:$C$9,3,FALSE),"")</f>
        <v/>
      </c>
    </row>
    <row r="383">
      <c r="A383" s="5" t="inlineStr">
        <is>
          <t>Janicza Bravo</t>
        </is>
      </c>
      <c r="B383" s="5" t="inlineStr">
        <is>
          <t>T5</t>
        </is>
      </c>
      <c r="C383" s="5" t="inlineStr">
        <is>
          <t>Breakout</t>
        </is>
      </c>
      <c r="D383" s="5" t="inlineStr">
        <is>
          <t>US/Intl</t>
        </is>
      </c>
      <c r="E383" s="5" t="inlineStr">
        <is>
          <t>Drama</t>
        </is>
      </c>
      <c r="F383" s="5" t="inlineStr">
        <is>
          <t>Prestige drama,Thriller/Mystery</t>
        </is>
      </c>
      <c r="G383" s="5" t="inlineStr">
        <is>
          <t>Low/Mid</t>
        </is>
      </c>
      <c r="H383" s="5" t="inlineStr">
        <is>
          <t>voice-driven</t>
        </is>
      </c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>
        <is>
          <t>Seeded</t>
        </is>
      </c>
      <c r="S383" s="5" t="inlineStr">
        <is>
          <t>2026-01-29</t>
        </is>
      </c>
      <c r="T383" s="5" t="inlineStr">
        <is>
          <t>https://en.wikipedia.org/w/index.php?search=Janicza+Bravo</t>
        </is>
      </c>
      <c r="U383" s="5" t="inlineStr">
        <is>
          <t>https://www.imdb.com/find/?q=Janicza+Bravo&amp;s=nm</t>
        </is>
      </c>
      <c r="AO383" s="19">
        <f>IFERROR(VLOOKUP(AN383,BUDGET_BANDS!$A$2:$C$9,2,FALSE),"")</f>
        <v/>
      </c>
      <c r="AP383" s="19">
        <f>IFERROR(VLOOKUP(AN383,BUDGET_BANDS!$A$2:$C$9,3,FALSE),"")</f>
        <v/>
      </c>
    </row>
    <row r="384">
      <c r="A384" s="5" t="inlineStr">
        <is>
          <t>Josephine Decker</t>
        </is>
      </c>
      <c r="B384" s="5" t="inlineStr">
        <is>
          <t>T5</t>
        </is>
      </c>
      <c r="C384" s="5" t="inlineStr">
        <is>
          <t>Breakout</t>
        </is>
      </c>
      <c r="D384" s="5" t="inlineStr">
        <is>
          <t>Intl/US</t>
        </is>
      </c>
      <c r="E384" s="5" t="inlineStr">
        <is>
          <t>Drama</t>
        </is>
      </c>
      <c r="F384" s="5" t="inlineStr">
        <is>
          <t>Prestige drama</t>
        </is>
      </c>
      <c r="G384" s="5" t="inlineStr">
        <is>
          <t>Low/Mid</t>
        </is>
      </c>
      <c r="H384" s="5" t="inlineStr">
        <is>
          <t>voice-driven</t>
        </is>
      </c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>
        <is>
          <t>Seeded</t>
        </is>
      </c>
      <c r="S384" s="5" t="inlineStr">
        <is>
          <t>2026-01-29</t>
        </is>
      </c>
      <c r="T384" s="5" t="inlineStr">
        <is>
          <t>https://en.wikipedia.org/w/index.php?search=Josephine+Decker</t>
        </is>
      </c>
      <c r="U384" s="5" t="inlineStr">
        <is>
          <t>https://www.imdb.com/find/?q=Josephine+Decker&amp;s=nm</t>
        </is>
      </c>
      <c r="AO384" s="19">
        <f>IFERROR(VLOOKUP(AN384,BUDGET_BANDS!$A$2:$C$9,2,FALSE),"")</f>
        <v/>
      </c>
      <c r="AP384" s="19">
        <f>IFERROR(VLOOKUP(AN384,BUDGET_BANDS!$A$2:$C$9,3,FALSE),"")</f>
        <v/>
      </c>
    </row>
    <row r="385">
      <c r="A385" s="5" t="inlineStr">
        <is>
          <t>Juel Taylor</t>
        </is>
      </c>
      <c r="B385" s="5" t="inlineStr">
        <is>
          <t>T5</t>
        </is>
      </c>
      <c r="C385" s="5" t="inlineStr">
        <is>
          <t>Breakout</t>
        </is>
      </c>
      <c r="D385" s="5" t="inlineStr">
        <is>
          <t>US/Intl</t>
        </is>
      </c>
      <c r="E385" s="5" t="inlineStr">
        <is>
          <t>Drama</t>
        </is>
      </c>
      <c r="F385" s="5" t="inlineStr">
        <is>
          <t>Prestige drama,Thriller/Mystery</t>
        </is>
      </c>
      <c r="G385" s="5" t="inlineStr">
        <is>
          <t>Low/Mid</t>
        </is>
      </c>
      <c r="H385" s="5" t="inlineStr">
        <is>
          <t>voice-driven</t>
        </is>
      </c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>
        <is>
          <t>Seeded</t>
        </is>
      </c>
      <c r="S385" s="5" t="inlineStr">
        <is>
          <t>2026-01-29</t>
        </is>
      </c>
      <c r="T385" s="5" t="inlineStr">
        <is>
          <t>https://en.wikipedia.org/w/index.php?search=Juel+Taylor</t>
        </is>
      </c>
      <c r="U385" s="5" t="inlineStr">
        <is>
          <t>https://www.imdb.com/find/?q=Juel+Taylor&amp;s=nm</t>
        </is>
      </c>
      <c r="AO385" s="19">
        <f>IFERROR(VLOOKUP(AN385,BUDGET_BANDS!$A$2:$C$9,2,FALSE),"")</f>
        <v/>
      </c>
      <c r="AP385" s="19">
        <f>IFERROR(VLOOKUP(AN385,BUDGET_BANDS!$A$2:$C$9,3,FALSE),"")</f>
        <v/>
      </c>
    </row>
    <row r="386">
      <c r="A386" s="5" t="inlineStr">
        <is>
          <t>Julio Torres</t>
        </is>
      </c>
      <c r="B386" s="5" t="inlineStr">
        <is>
          <t>T5</t>
        </is>
      </c>
      <c r="C386" s="5" t="inlineStr">
        <is>
          <t>Breakout</t>
        </is>
      </c>
      <c r="D386" s="5" t="inlineStr">
        <is>
          <t>US/UK</t>
        </is>
      </c>
      <c r="E386" s="5" t="inlineStr">
        <is>
          <t>Comedy</t>
        </is>
      </c>
      <c r="F386" s="5" t="inlineStr">
        <is>
          <t>Drama</t>
        </is>
      </c>
      <c r="G386" s="5" t="inlineStr">
        <is>
          <t>Low/Mid</t>
        </is>
      </c>
      <c r="H386" s="5" t="inlineStr">
        <is>
          <t>voice-driven</t>
        </is>
      </c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>
        <is>
          <t>Seeded</t>
        </is>
      </c>
      <c r="S386" s="5" t="inlineStr">
        <is>
          <t>2026-01-29</t>
        </is>
      </c>
      <c r="T386" s="5" t="inlineStr">
        <is>
          <t>https://en.wikipedia.org/w/index.php?search=Julio+Torres</t>
        </is>
      </c>
      <c r="U386" s="5" t="inlineStr">
        <is>
          <t>https://www.imdb.com/find/?q=Julio+Torres&amp;s=nm</t>
        </is>
      </c>
      <c r="AO386" s="19">
        <f>IFERROR(VLOOKUP(AN386,BUDGET_BANDS!$A$2:$C$9,2,FALSE),"")</f>
        <v/>
      </c>
      <c r="AP386" s="19">
        <f>IFERROR(VLOOKUP(AN386,BUDGET_BANDS!$A$2:$C$9,3,FALSE),"")</f>
        <v/>
      </c>
    </row>
    <row r="387">
      <c r="A387" s="5" t="inlineStr">
        <is>
          <t>Kitty Green</t>
        </is>
      </c>
      <c r="B387" s="5" t="inlineStr">
        <is>
          <t>T5</t>
        </is>
      </c>
      <c r="C387" s="5" t="inlineStr">
        <is>
          <t>Breakout</t>
        </is>
      </c>
      <c r="D387" s="5" t="inlineStr">
        <is>
          <t>US/Intl</t>
        </is>
      </c>
      <c r="E387" s="5" t="inlineStr">
        <is>
          <t>Drama</t>
        </is>
      </c>
      <c r="F387" s="5" t="inlineStr">
        <is>
          <t>Prestige drama,Thriller/Mystery</t>
        </is>
      </c>
      <c r="G387" s="5" t="inlineStr">
        <is>
          <t>Low/Mid</t>
        </is>
      </c>
      <c r="H387" s="5" t="inlineStr">
        <is>
          <t>voice-driven</t>
        </is>
      </c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>
        <is>
          <t>Seeded</t>
        </is>
      </c>
      <c r="S387" s="5" t="inlineStr">
        <is>
          <t>2026-01-29</t>
        </is>
      </c>
      <c r="T387" s="5" t="inlineStr">
        <is>
          <t>https://en.wikipedia.org/w/index.php?search=Kitty+Green</t>
        </is>
      </c>
      <c r="U387" s="5" t="inlineStr">
        <is>
          <t>https://www.imdb.com/find/?q=Kitty+Green&amp;s=nm</t>
        </is>
      </c>
      <c r="AO387" s="19">
        <f>IFERROR(VLOOKUP(AN387,BUDGET_BANDS!$A$2:$C$9,2,FALSE),"")</f>
        <v/>
      </c>
      <c r="AP387" s="19">
        <f>IFERROR(VLOOKUP(AN387,BUDGET_BANDS!$A$2:$C$9,3,FALSE),"")</f>
        <v/>
      </c>
    </row>
    <row r="388">
      <c r="A388" s="5" t="inlineStr">
        <is>
          <t>Kogonada</t>
        </is>
      </c>
      <c r="B388" s="5" t="inlineStr">
        <is>
          <t>T5</t>
        </is>
      </c>
      <c r="C388" s="5" t="inlineStr">
        <is>
          <t>Breakout</t>
        </is>
      </c>
      <c r="D388" s="5" t="inlineStr">
        <is>
          <t>US/Intl</t>
        </is>
      </c>
      <c r="E388" s="5" t="inlineStr">
        <is>
          <t>Drama</t>
        </is>
      </c>
      <c r="F388" s="5" t="inlineStr">
        <is>
          <t>Prestige drama,Thriller/Mystery</t>
        </is>
      </c>
      <c r="G388" s="5" t="inlineStr">
        <is>
          <t>Low/Mid</t>
        </is>
      </c>
      <c r="H388" s="5" t="inlineStr">
        <is>
          <t>voice-driven</t>
        </is>
      </c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>
        <is>
          <t>Seeded</t>
        </is>
      </c>
      <c r="S388" s="5" t="inlineStr">
        <is>
          <t>2026-01-29</t>
        </is>
      </c>
      <c r="T388" s="5" t="inlineStr">
        <is>
          <t>https://en.wikipedia.org/w/index.php?search=Kogonada</t>
        </is>
      </c>
      <c r="U388" s="5" t="inlineStr">
        <is>
          <t>https://www.imdb.com/find/?q=Kogonada&amp;s=nm</t>
        </is>
      </c>
      <c r="AO388" s="19">
        <f>IFERROR(VLOOKUP(AN388,BUDGET_BANDS!$A$2:$C$9,2,FALSE),"")</f>
        <v/>
      </c>
      <c r="AP388" s="19">
        <f>IFERROR(VLOOKUP(AN388,BUDGET_BANDS!$A$2:$C$9,3,FALSE),"")</f>
        <v/>
      </c>
    </row>
    <row r="389">
      <c r="A389" s="5" t="inlineStr">
        <is>
          <t>Kris Rey</t>
        </is>
      </c>
      <c r="B389" s="5" t="inlineStr">
        <is>
          <t>T5</t>
        </is>
      </c>
      <c r="C389" s="5" t="inlineStr">
        <is>
          <t>Breakout</t>
        </is>
      </c>
      <c r="D389" s="5" t="inlineStr">
        <is>
          <t>US/Intl</t>
        </is>
      </c>
      <c r="E389" s="5" t="inlineStr">
        <is>
          <t>Horror</t>
        </is>
      </c>
      <c r="F389" s="5" t="inlineStr">
        <is>
          <t>Thriller/Mystery</t>
        </is>
      </c>
      <c r="G389" s="5" t="inlineStr">
        <is>
          <t>Low</t>
        </is>
      </c>
      <c r="H389" s="5" t="inlineStr">
        <is>
          <t>fresh, high-concept</t>
        </is>
      </c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>
        <is>
          <t>Seeded</t>
        </is>
      </c>
      <c r="S389" s="5" t="inlineStr">
        <is>
          <t>2026-01-29</t>
        </is>
      </c>
      <c r="T389" s="5" t="inlineStr">
        <is>
          <t>https://en.wikipedia.org/w/index.php?search=Kris+Rey</t>
        </is>
      </c>
      <c r="U389" s="5" t="inlineStr">
        <is>
          <t>https://www.imdb.com/find/?q=Kris+Rey&amp;s=nm</t>
        </is>
      </c>
      <c r="AO389" s="19">
        <f>IFERROR(VLOOKUP(AN389,BUDGET_BANDS!$A$2:$C$9,2,FALSE),"")</f>
        <v/>
      </c>
      <c r="AP389" s="19">
        <f>IFERROR(VLOOKUP(AN389,BUDGET_BANDS!$A$2:$C$9,3,FALSE),"")</f>
        <v/>
      </c>
    </row>
    <row r="390">
      <c r="A390" s="5" t="inlineStr">
        <is>
          <t>Lee Isaac Chung</t>
        </is>
      </c>
      <c r="B390" s="5" t="inlineStr">
        <is>
          <t>T5</t>
        </is>
      </c>
      <c r="C390" s="5" t="inlineStr">
        <is>
          <t>Breakout</t>
        </is>
      </c>
      <c r="D390" s="5" t="inlineStr">
        <is>
          <t>US/Intl</t>
        </is>
      </c>
      <c r="E390" s="5" t="inlineStr">
        <is>
          <t>Drama</t>
        </is>
      </c>
      <c r="F390" s="5" t="inlineStr">
        <is>
          <t>Prestige drama,Thriller/Mystery</t>
        </is>
      </c>
      <c r="G390" s="5" t="inlineStr">
        <is>
          <t>Low/Mid</t>
        </is>
      </c>
      <c r="H390" s="5" t="inlineStr">
        <is>
          <t>voice-driven</t>
        </is>
      </c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>
        <is>
          <t>Seeded</t>
        </is>
      </c>
      <c r="S390" s="5" t="inlineStr">
        <is>
          <t>2026-01-29</t>
        </is>
      </c>
      <c r="T390" s="5" t="inlineStr">
        <is>
          <t>https://en.wikipedia.org/w/index.php?search=Lee+Isaac+Chung</t>
        </is>
      </c>
      <c r="U390" s="5" t="inlineStr">
        <is>
          <t>https://www.imdb.com/find/?q=Lee+Isaac+Chung&amp;s=nm</t>
        </is>
      </c>
      <c r="AO390" s="19">
        <f>IFERROR(VLOOKUP(AN390,BUDGET_BANDS!$A$2:$C$9,2,FALSE),"")</f>
        <v/>
      </c>
      <c r="AP390" s="19">
        <f>IFERROR(VLOOKUP(AN390,BUDGET_BANDS!$A$2:$C$9,3,FALSE),"")</f>
        <v/>
      </c>
    </row>
    <row r="391">
      <c r="A391" s="5" t="inlineStr">
        <is>
          <t>Lenny Abrahamson</t>
        </is>
      </c>
      <c r="B391" s="5" t="inlineStr">
        <is>
          <t>T5</t>
        </is>
      </c>
      <c r="C391" s="5" t="inlineStr">
        <is>
          <t>Breakout</t>
        </is>
      </c>
      <c r="D391" s="5" t="inlineStr">
        <is>
          <t>Intl/US</t>
        </is>
      </c>
      <c r="E391" s="5" t="inlineStr">
        <is>
          <t>Drama</t>
        </is>
      </c>
      <c r="F391" s="5" t="inlineStr">
        <is>
          <t>Prestige drama</t>
        </is>
      </c>
      <c r="G391" s="5" t="inlineStr">
        <is>
          <t>Low/Mid</t>
        </is>
      </c>
      <c r="H391" s="5" t="inlineStr">
        <is>
          <t>voice-driven</t>
        </is>
      </c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>
        <is>
          <t>Seeded</t>
        </is>
      </c>
      <c r="S391" s="5" t="inlineStr">
        <is>
          <t>2026-01-29</t>
        </is>
      </c>
      <c r="T391" s="5" t="inlineStr">
        <is>
          <t>https://en.wikipedia.org/w/index.php?search=Lenny+Abrahamson</t>
        </is>
      </c>
      <c r="U391" s="5" t="inlineStr">
        <is>
          <t>https://www.imdb.com/find/?q=Lenny+Abrahamson&amp;s=nm</t>
        </is>
      </c>
      <c r="AO391" s="19">
        <f>IFERROR(VLOOKUP(AN391,BUDGET_BANDS!$A$2:$C$9,2,FALSE),"")</f>
        <v/>
      </c>
      <c r="AP391" s="19">
        <f>IFERROR(VLOOKUP(AN391,BUDGET_BANDS!$A$2:$C$9,3,FALSE),"")</f>
        <v/>
      </c>
    </row>
    <row r="392">
      <c r="A392" s="5" t="inlineStr">
        <is>
          <t>Lila Avilés</t>
        </is>
      </c>
      <c r="B392" s="5" t="inlineStr">
        <is>
          <t>T5</t>
        </is>
      </c>
      <c r="C392" s="5" t="inlineStr">
        <is>
          <t>Breakout</t>
        </is>
      </c>
      <c r="D392" s="5" t="inlineStr">
        <is>
          <t>Intl/US</t>
        </is>
      </c>
      <c r="E392" s="5" t="inlineStr">
        <is>
          <t>Drama</t>
        </is>
      </c>
      <c r="F392" s="5" t="inlineStr">
        <is>
          <t>Prestige drama</t>
        </is>
      </c>
      <c r="G392" s="5" t="inlineStr">
        <is>
          <t>Low/Mid</t>
        </is>
      </c>
      <c r="H392" s="5" t="inlineStr">
        <is>
          <t>voice-driven</t>
        </is>
      </c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>
        <is>
          <t>Seeded</t>
        </is>
      </c>
      <c r="S392" s="5" t="inlineStr">
        <is>
          <t>2026-01-29</t>
        </is>
      </c>
      <c r="T392" s="5" t="inlineStr">
        <is>
          <t>https://en.wikipedia.org/w/index.php?search=Lila+Avil%C3%A9s</t>
        </is>
      </c>
      <c r="U392" s="5" t="inlineStr">
        <is>
          <t>https://www.imdb.com/find/?q=Lila+Avil%C3%A9s&amp;s=nm</t>
        </is>
      </c>
      <c r="AO392" s="19">
        <f>IFERROR(VLOOKUP(AN392,BUDGET_BANDS!$A$2:$C$9,2,FALSE),"")</f>
        <v/>
      </c>
      <c r="AP392" s="19">
        <f>IFERROR(VLOOKUP(AN392,BUDGET_BANDS!$A$2:$C$9,3,FALSE),"")</f>
        <v/>
      </c>
    </row>
    <row r="393">
      <c r="A393" s="5" t="inlineStr">
        <is>
          <t>Lila Neugebauer</t>
        </is>
      </c>
      <c r="B393" s="5" t="inlineStr">
        <is>
          <t>T5</t>
        </is>
      </c>
      <c r="C393" s="5" t="inlineStr">
        <is>
          <t>Breakout</t>
        </is>
      </c>
      <c r="D393" s="5" t="inlineStr">
        <is>
          <t>US/Intl</t>
        </is>
      </c>
      <c r="E393" s="5" t="inlineStr">
        <is>
          <t>Drama</t>
        </is>
      </c>
      <c r="F393" s="5" t="inlineStr">
        <is>
          <t>Prestige drama,Thriller/Mystery</t>
        </is>
      </c>
      <c r="G393" s="5" t="inlineStr">
        <is>
          <t>Low/Mid</t>
        </is>
      </c>
      <c r="H393" s="5" t="inlineStr">
        <is>
          <t>voice-driven</t>
        </is>
      </c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>
        <is>
          <t>Seeded</t>
        </is>
      </c>
      <c r="S393" s="5" t="inlineStr">
        <is>
          <t>2026-01-29</t>
        </is>
      </c>
      <c r="T393" s="5" t="inlineStr">
        <is>
          <t>https://en.wikipedia.org/w/index.php?search=Lila+Neugebauer</t>
        </is>
      </c>
      <c r="U393" s="5" t="inlineStr">
        <is>
          <t>https://www.imdb.com/find/?q=Lila+Neugebauer&amp;s=nm</t>
        </is>
      </c>
      <c r="AO393" s="19">
        <f>IFERROR(VLOOKUP(AN393,BUDGET_BANDS!$A$2:$C$9,2,FALSE),"")</f>
        <v/>
      </c>
      <c r="AP393" s="19">
        <f>IFERROR(VLOOKUP(AN393,BUDGET_BANDS!$A$2:$C$9,3,FALSE),"")</f>
        <v/>
      </c>
    </row>
    <row r="394">
      <c r="A394" s="5" t="inlineStr">
        <is>
          <t>Lulu Wang</t>
        </is>
      </c>
      <c r="B394" s="5" t="inlineStr">
        <is>
          <t>T5</t>
        </is>
      </c>
      <c r="C394" s="5" t="inlineStr">
        <is>
          <t>Breakout</t>
        </is>
      </c>
      <c r="D394" s="5" t="inlineStr">
        <is>
          <t>US/Intl</t>
        </is>
      </c>
      <c r="E394" s="5" t="inlineStr">
        <is>
          <t>Drama</t>
        </is>
      </c>
      <c r="F394" s="5" t="inlineStr">
        <is>
          <t>Prestige drama,Thriller/Mystery</t>
        </is>
      </c>
      <c r="G394" s="5" t="inlineStr">
        <is>
          <t>Low/Mid</t>
        </is>
      </c>
      <c r="H394" s="5" t="inlineStr">
        <is>
          <t>voice-driven</t>
        </is>
      </c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>
        <is>
          <t>Seeded</t>
        </is>
      </c>
      <c r="S394" s="5" t="inlineStr">
        <is>
          <t>2026-01-29</t>
        </is>
      </c>
      <c r="T394" s="5" t="inlineStr">
        <is>
          <t>https://en.wikipedia.org/w/index.php?search=Lulu+Wang</t>
        </is>
      </c>
      <c r="U394" s="5" t="inlineStr">
        <is>
          <t>https://www.imdb.com/find/?q=Lulu+Wang&amp;s=nm</t>
        </is>
      </c>
      <c r="AO394" s="19">
        <f>IFERROR(VLOOKUP(AN394,BUDGET_BANDS!$A$2:$C$9,2,FALSE),"")</f>
        <v/>
      </c>
      <c r="AP394" s="19">
        <f>IFERROR(VLOOKUP(AN394,BUDGET_BANDS!$A$2:$C$9,3,FALSE),"")</f>
        <v/>
      </c>
    </row>
    <row r="395">
      <c r="A395" s="5" t="inlineStr">
        <is>
          <t>Maggie Gyllenhaal</t>
        </is>
      </c>
      <c r="B395" s="5" t="inlineStr">
        <is>
          <t>T5</t>
        </is>
      </c>
      <c r="C395" s="5" t="inlineStr">
        <is>
          <t>Breakout</t>
        </is>
      </c>
      <c r="D395" s="5" t="inlineStr">
        <is>
          <t>US/Intl</t>
        </is>
      </c>
      <c r="E395" s="5" t="inlineStr">
        <is>
          <t>Drama</t>
        </is>
      </c>
      <c r="F395" s="5" t="inlineStr">
        <is>
          <t>Prestige drama,Thriller/Mystery</t>
        </is>
      </c>
      <c r="G395" s="5" t="inlineStr">
        <is>
          <t>Low/Mid</t>
        </is>
      </c>
      <c r="H395" s="5" t="inlineStr">
        <is>
          <t>voice-driven</t>
        </is>
      </c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>
        <is>
          <t>Seeded</t>
        </is>
      </c>
      <c r="S395" s="5" t="inlineStr">
        <is>
          <t>2026-01-29</t>
        </is>
      </c>
      <c r="T395" s="5" t="inlineStr">
        <is>
          <t>https://en.wikipedia.org/w/index.php?search=Maggie+Gyllenhaal</t>
        </is>
      </c>
      <c r="U395" s="5" t="inlineStr">
        <is>
          <t>https://www.imdb.com/find/?q=Maggie+Gyllenhaal&amp;s=nm</t>
        </is>
      </c>
      <c r="AO395" s="19">
        <f>IFERROR(VLOOKUP(AN395,BUDGET_BANDS!$A$2:$C$9,2,FALSE),"")</f>
        <v/>
      </c>
      <c r="AP395" s="19">
        <f>IFERROR(VLOOKUP(AN395,BUDGET_BANDS!$A$2:$C$9,3,FALSE),"")</f>
        <v/>
      </c>
    </row>
    <row r="396">
      <c r="A396" s="5" t="inlineStr">
        <is>
          <t>Malcolm Washington</t>
        </is>
      </c>
      <c r="B396" s="5" t="inlineStr">
        <is>
          <t>T5</t>
        </is>
      </c>
      <c r="C396" s="5" t="inlineStr">
        <is>
          <t>Breakout</t>
        </is>
      </c>
      <c r="D396" s="5" t="inlineStr">
        <is>
          <t>US/UK</t>
        </is>
      </c>
      <c r="E396" s="5" t="inlineStr">
        <is>
          <t>Comedy</t>
        </is>
      </c>
      <c r="F396" s="5" t="inlineStr">
        <is>
          <t>Drama</t>
        </is>
      </c>
      <c r="G396" s="5" t="inlineStr">
        <is>
          <t>Low/Mid</t>
        </is>
      </c>
      <c r="H396" s="5" t="inlineStr">
        <is>
          <t>voice-driven</t>
        </is>
      </c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>
        <is>
          <t>Seeded</t>
        </is>
      </c>
      <c r="S396" s="5" t="inlineStr">
        <is>
          <t>2026-01-29</t>
        </is>
      </c>
      <c r="T396" s="5" t="inlineStr">
        <is>
          <t>https://en.wikipedia.org/w/index.php?search=Malcolm+Washington</t>
        </is>
      </c>
      <c r="U396" s="5" t="inlineStr">
        <is>
          <t>https://www.imdb.com/find/?q=Malcolm+Washington&amp;s=nm</t>
        </is>
      </c>
      <c r="AO396" s="19">
        <f>IFERROR(VLOOKUP(AN396,BUDGET_BANDS!$A$2:$C$9,2,FALSE),"")</f>
        <v/>
      </c>
      <c r="AP396" s="19">
        <f>IFERROR(VLOOKUP(AN396,BUDGET_BANDS!$A$2:$C$9,3,FALSE),"")</f>
        <v/>
      </c>
    </row>
    <row r="397">
      <c r="A397" s="5" t="inlineStr">
        <is>
          <t>Maria Schrader</t>
        </is>
      </c>
      <c r="B397" s="5" t="inlineStr">
        <is>
          <t>T5</t>
        </is>
      </c>
      <c r="C397" s="5" t="inlineStr">
        <is>
          <t>Breakout</t>
        </is>
      </c>
      <c r="D397" s="5" t="inlineStr">
        <is>
          <t>US/Intl</t>
        </is>
      </c>
      <c r="E397" s="5" t="inlineStr">
        <is>
          <t>Drama</t>
        </is>
      </c>
      <c r="F397" s="5" t="inlineStr">
        <is>
          <t>Prestige drama,Thriller/Mystery</t>
        </is>
      </c>
      <c r="G397" s="5" t="inlineStr">
        <is>
          <t>Low/Mid</t>
        </is>
      </c>
      <c r="H397" s="5" t="inlineStr">
        <is>
          <t>voice-driven</t>
        </is>
      </c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>
        <is>
          <t>Seeded</t>
        </is>
      </c>
      <c r="S397" s="5" t="inlineStr">
        <is>
          <t>2026-01-29</t>
        </is>
      </c>
      <c r="T397" s="5" t="inlineStr">
        <is>
          <t>https://en.wikipedia.org/w/index.php?search=Maria+Schrader</t>
        </is>
      </c>
      <c r="U397" s="5" t="inlineStr">
        <is>
          <t>https://www.imdb.com/find/?q=Maria+Schrader&amp;s=nm</t>
        </is>
      </c>
      <c r="AO397" s="19">
        <f>IFERROR(VLOOKUP(AN397,BUDGET_BANDS!$A$2:$C$9,2,FALSE),"")</f>
        <v/>
      </c>
      <c r="AP397" s="19">
        <f>IFERROR(VLOOKUP(AN397,BUDGET_BANDS!$A$2:$C$9,3,FALSE),"")</f>
        <v/>
      </c>
    </row>
    <row r="398">
      <c r="A398" s="5" t="inlineStr">
        <is>
          <t>Mark Mylod</t>
        </is>
      </c>
      <c r="B398" s="5" t="inlineStr">
        <is>
          <t>T5</t>
        </is>
      </c>
      <c r="C398" s="5" t="inlineStr">
        <is>
          <t>Breakout</t>
        </is>
      </c>
      <c r="D398" s="5" t="inlineStr">
        <is>
          <t>US/Intl</t>
        </is>
      </c>
      <c r="E398" s="5" t="inlineStr">
        <is>
          <t>Drama</t>
        </is>
      </c>
      <c r="F398" s="5" t="inlineStr">
        <is>
          <t>Prestige drama,Thriller/Mystery</t>
        </is>
      </c>
      <c r="G398" s="5" t="inlineStr">
        <is>
          <t>Low/Mid</t>
        </is>
      </c>
      <c r="H398" s="5" t="inlineStr">
        <is>
          <t>voice-driven</t>
        </is>
      </c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>
        <is>
          <t>Seeded</t>
        </is>
      </c>
      <c r="S398" s="5" t="inlineStr">
        <is>
          <t>2026-01-29</t>
        </is>
      </c>
      <c r="T398" s="5" t="inlineStr">
        <is>
          <t>https://en.wikipedia.org/w/index.php?search=Mark+Mylod</t>
        </is>
      </c>
      <c r="U398" s="5" t="inlineStr">
        <is>
          <t>https://www.imdb.com/find/?q=Mark+Mylod&amp;s=nm</t>
        </is>
      </c>
      <c r="AO398" s="19">
        <f>IFERROR(VLOOKUP(AN398,BUDGET_BANDS!$A$2:$C$9,2,FALSE),"")</f>
        <v/>
      </c>
      <c r="AP398" s="19">
        <f>IFERROR(VLOOKUP(AN398,BUDGET_BANDS!$A$2:$C$9,3,FALSE),"")</f>
        <v/>
      </c>
    </row>
    <row r="399">
      <c r="A399" s="5" t="inlineStr">
        <is>
          <t>Michael Philippou</t>
        </is>
      </c>
      <c r="B399" s="5" t="inlineStr">
        <is>
          <t>T5</t>
        </is>
      </c>
      <c r="C399" s="5" t="inlineStr">
        <is>
          <t>Breakout</t>
        </is>
      </c>
      <c r="D399" s="5" t="inlineStr">
        <is>
          <t>US/Intl</t>
        </is>
      </c>
      <c r="E399" s="5" t="inlineStr">
        <is>
          <t>Horror</t>
        </is>
      </c>
      <c r="F399" s="5" t="inlineStr">
        <is>
          <t>Thriller/Mystery</t>
        </is>
      </c>
      <c r="G399" s="5" t="inlineStr">
        <is>
          <t>Low</t>
        </is>
      </c>
      <c r="H399" s="5" t="inlineStr">
        <is>
          <t>fresh, high-concept</t>
        </is>
      </c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>
        <is>
          <t>Seeded</t>
        </is>
      </c>
      <c r="S399" s="5" t="inlineStr">
        <is>
          <t>2026-01-29</t>
        </is>
      </c>
      <c r="T399" s="5" t="inlineStr">
        <is>
          <t>https://en.wikipedia.org/w/index.php?search=Michael+Philippou</t>
        </is>
      </c>
      <c r="U399" s="5" t="inlineStr">
        <is>
          <t>https://www.imdb.com/find/?q=Michael+Philippou&amp;s=nm</t>
        </is>
      </c>
      <c r="AO399" s="19">
        <f>IFERROR(VLOOKUP(AN399,BUDGET_BANDS!$A$2:$C$9,2,FALSE),"")</f>
        <v/>
      </c>
      <c r="AP399" s="19">
        <f>IFERROR(VLOOKUP(AN399,BUDGET_BANDS!$A$2:$C$9,3,FALSE),"")</f>
        <v/>
      </c>
    </row>
    <row r="400">
      <c r="A400" s="5" t="inlineStr">
        <is>
          <t>Molly Manning Walker</t>
        </is>
      </c>
      <c r="B400" s="5" t="inlineStr">
        <is>
          <t>T5</t>
        </is>
      </c>
      <c r="C400" s="5" t="inlineStr">
        <is>
          <t>Breakout</t>
        </is>
      </c>
      <c r="D400" s="5" t="inlineStr">
        <is>
          <t>US/Intl</t>
        </is>
      </c>
      <c r="E400" s="5" t="inlineStr">
        <is>
          <t>Drama</t>
        </is>
      </c>
      <c r="F400" s="5" t="inlineStr">
        <is>
          <t>Prestige drama,Thriller/Mystery</t>
        </is>
      </c>
      <c r="G400" s="5" t="inlineStr">
        <is>
          <t>Low/Mid</t>
        </is>
      </c>
      <c r="H400" s="5" t="inlineStr">
        <is>
          <t>voice-driven</t>
        </is>
      </c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>
        <is>
          <t>Seeded</t>
        </is>
      </c>
      <c r="S400" s="5" t="inlineStr">
        <is>
          <t>2026-01-29</t>
        </is>
      </c>
      <c r="T400" s="5" t="inlineStr">
        <is>
          <t>https://en.wikipedia.org/w/index.php?search=Molly+Manning+Walker</t>
        </is>
      </c>
      <c r="U400" s="5" t="inlineStr">
        <is>
          <t>https://www.imdb.com/find/?q=Molly+Manning+Walker&amp;s=nm</t>
        </is>
      </c>
      <c r="AO400" s="19">
        <f>IFERROR(VLOOKUP(AN400,BUDGET_BANDS!$A$2:$C$9,2,FALSE),"")</f>
        <v/>
      </c>
      <c r="AP400" s="19">
        <f>IFERROR(VLOOKUP(AN400,BUDGET_BANDS!$A$2:$C$9,3,FALSE),"")</f>
        <v/>
      </c>
    </row>
    <row r="401">
      <c r="A401" s="5" t="inlineStr">
        <is>
          <t>Natasha Kermani</t>
        </is>
      </c>
      <c r="B401" s="5" t="inlineStr">
        <is>
          <t>T5</t>
        </is>
      </c>
      <c r="C401" s="5" t="inlineStr">
        <is>
          <t>Breakout</t>
        </is>
      </c>
      <c r="D401" s="5" t="inlineStr">
        <is>
          <t>US/Intl</t>
        </is>
      </c>
      <c r="E401" s="5" t="inlineStr">
        <is>
          <t>Horror</t>
        </is>
      </c>
      <c r="F401" s="5" t="inlineStr">
        <is>
          <t>Thriller/Mystery</t>
        </is>
      </c>
      <c r="G401" s="5" t="inlineStr">
        <is>
          <t>Low</t>
        </is>
      </c>
      <c r="H401" s="5" t="inlineStr">
        <is>
          <t>fresh, high-concept</t>
        </is>
      </c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>
        <is>
          <t>Seeded</t>
        </is>
      </c>
      <c r="S401" s="5" t="inlineStr">
        <is>
          <t>2026-01-29</t>
        </is>
      </c>
      <c r="T401" s="5" t="inlineStr">
        <is>
          <t>https://en.wikipedia.org/w/index.php?search=Natasha+Kermani</t>
        </is>
      </c>
      <c r="U401" s="5" t="inlineStr">
        <is>
          <t>https://www.imdb.com/find/?q=Natasha+Kermani&amp;s=nm</t>
        </is>
      </c>
      <c r="AO401" s="19">
        <f>IFERROR(VLOOKUP(AN401,BUDGET_BANDS!$A$2:$C$9,2,FALSE),"")</f>
        <v/>
      </c>
      <c r="AP401" s="19">
        <f>IFERROR(VLOOKUP(AN401,BUDGET_BANDS!$A$2:$C$9,3,FALSE),"")</f>
        <v/>
      </c>
    </row>
    <row r="402">
      <c r="A402" s="5" t="inlineStr">
        <is>
          <t>Nia DaCosta</t>
        </is>
      </c>
      <c r="B402" s="5" t="inlineStr">
        <is>
          <t>T5</t>
        </is>
      </c>
      <c r="C402" s="5" t="inlineStr">
        <is>
          <t>Breakout</t>
        </is>
      </c>
      <c r="D402" s="5" t="inlineStr">
        <is>
          <t>US/Intl</t>
        </is>
      </c>
      <c r="E402" s="5" t="inlineStr">
        <is>
          <t>Drama</t>
        </is>
      </c>
      <c r="F402" s="5" t="inlineStr">
        <is>
          <t>Prestige drama,Thriller/Mystery</t>
        </is>
      </c>
      <c r="G402" s="5" t="inlineStr">
        <is>
          <t>Low/Mid</t>
        </is>
      </c>
      <c r="H402" s="5" t="inlineStr">
        <is>
          <t>voice-driven</t>
        </is>
      </c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>
        <is>
          <t>Seeded</t>
        </is>
      </c>
      <c r="S402" s="5" t="inlineStr">
        <is>
          <t>2026-01-29</t>
        </is>
      </c>
      <c r="T402" s="5" t="inlineStr">
        <is>
          <t>https://en.wikipedia.org/w/index.php?search=Nia+DaCosta</t>
        </is>
      </c>
      <c r="U402" s="5" t="inlineStr">
        <is>
          <t>https://www.imdb.com/find/?q=Nia+DaCosta&amp;s=nm</t>
        </is>
      </c>
      <c r="AO402" s="19">
        <f>IFERROR(VLOOKUP(AN402,BUDGET_BANDS!$A$2:$C$9,2,FALSE),"")</f>
        <v/>
      </c>
      <c r="AP402" s="19">
        <f>IFERROR(VLOOKUP(AN402,BUDGET_BANDS!$A$2:$C$9,3,FALSE),"")</f>
        <v/>
      </c>
    </row>
    <row r="403">
      <c r="A403" s="5" t="inlineStr">
        <is>
          <t>Nida Manzoor</t>
        </is>
      </c>
      <c r="B403" s="5" t="inlineStr">
        <is>
          <t>T5</t>
        </is>
      </c>
      <c r="C403" s="5" t="inlineStr">
        <is>
          <t>Breakout</t>
        </is>
      </c>
      <c r="D403" s="5" t="inlineStr">
        <is>
          <t>US/UK</t>
        </is>
      </c>
      <c r="E403" s="5" t="inlineStr">
        <is>
          <t>Comedy</t>
        </is>
      </c>
      <c r="F403" s="5" t="inlineStr">
        <is>
          <t>Drama</t>
        </is>
      </c>
      <c r="G403" s="5" t="inlineStr">
        <is>
          <t>Low/Mid</t>
        </is>
      </c>
      <c r="H403" s="5" t="inlineStr">
        <is>
          <t>voice-driven</t>
        </is>
      </c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>
        <is>
          <t>Seeded</t>
        </is>
      </c>
      <c r="S403" s="5" t="inlineStr">
        <is>
          <t>2026-01-29</t>
        </is>
      </c>
      <c r="T403" s="5" t="inlineStr">
        <is>
          <t>https://en.wikipedia.org/w/index.php?search=Nida+Manzoor</t>
        </is>
      </c>
      <c r="U403" s="5" t="inlineStr">
        <is>
          <t>https://www.imdb.com/find/?q=Nida+Manzoor&amp;s=nm</t>
        </is>
      </c>
      <c r="AO403" s="19">
        <f>IFERROR(VLOOKUP(AN403,BUDGET_BANDS!$A$2:$C$9,2,FALSE),"")</f>
        <v/>
      </c>
      <c r="AP403" s="19">
        <f>IFERROR(VLOOKUP(AN403,BUDGET_BANDS!$A$2:$C$9,3,FALSE),"")</f>
        <v/>
      </c>
    </row>
    <row r="404">
      <c r="A404" s="5" t="inlineStr">
        <is>
          <t>Nisha Pahuja</t>
        </is>
      </c>
      <c r="B404" s="5" t="inlineStr">
        <is>
          <t>T5</t>
        </is>
      </c>
      <c r="C404" s="5" t="inlineStr">
        <is>
          <t>Breakout</t>
        </is>
      </c>
      <c r="D404" s="5" t="inlineStr">
        <is>
          <t>Intl/US</t>
        </is>
      </c>
      <c r="E404" s="5" t="inlineStr">
        <is>
          <t>Drama</t>
        </is>
      </c>
      <c r="F404" s="5" t="inlineStr">
        <is>
          <t>Prestige drama</t>
        </is>
      </c>
      <c r="G404" s="5" t="inlineStr">
        <is>
          <t>Low/Mid</t>
        </is>
      </c>
      <c r="H404" s="5" t="inlineStr">
        <is>
          <t>voice-driven</t>
        </is>
      </c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>
        <is>
          <t>Seeded</t>
        </is>
      </c>
      <c r="S404" s="5" t="inlineStr">
        <is>
          <t>2026-01-29</t>
        </is>
      </c>
      <c r="T404" s="5" t="inlineStr">
        <is>
          <t>https://en.wikipedia.org/w/index.php?search=Nisha+Pahuja</t>
        </is>
      </c>
      <c r="U404" s="5" t="inlineStr">
        <is>
          <t>https://www.imdb.com/find/?q=Nisha+Pahuja&amp;s=nm</t>
        </is>
      </c>
      <c r="AO404" s="19">
        <f>IFERROR(VLOOKUP(AN404,BUDGET_BANDS!$A$2:$C$9,2,FALSE),"")</f>
        <v/>
      </c>
      <c r="AP404" s="19">
        <f>IFERROR(VLOOKUP(AN404,BUDGET_BANDS!$A$2:$C$9,3,FALSE),"")</f>
        <v/>
      </c>
    </row>
    <row r="405">
      <c r="A405" s="5" t="inlineStr">
        <is>
          <t>Nora Fingscheidt</t>
        </is>
      </c>
      <c r="B405" s="5" t="inlineStr">
        <is>
          <t>T5</t>
        </is>
      </c>
      <c r="C405" s="5" t="inlineStr">
        <is>
          <t>Breakout</t>
        </is>
      </c>
      <c r="D405" s="5" t="inlineStr">
        <is>
          <t>Intl/US</t>
        </is>
      </c>
      <c r="E405" s="5" t="inlineStr">
        <is>
          <t>Drama</t>
        </is>
      </c>
      <c r="F405" s="5" t="inlineStr">
        <is>
          <t>Prestige drama</t>
        </is>
      </c>
      <c r="G405" s="5" t="inlineStr">
        <is>
          <t>Low/Mid</t>
        </is>
      </c>
      <c r="H405" s="5" t="inlineStr">
        <is>
          <t>voice-driven</t>
        </is>
      </c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>
        <is>
          <t>Seeded</t>
        </is>
      </c>
      <c r="S405" s="5" t="inlineStr">
        <is>
          <t>2026-01-29</t>
        </is>
      </c>
      <c r="T405" s="5" t="inlineStr">
        <is>
          <t>https://en.wikipedia.org/w/index.php?search=Nora+Fingscheidt</t>
        </is>
      </c>
      <c r="U405" s="5" t="inlineStr">
        <is>
          <t>https://www.imdb.com/find/?q=Nora+Fingscheidt&amp;s=nm</t>
        </is>
      </c>
      <c r="AO405" s="19">
        <f>IFERROR(VLOOKUP(AN405,BUDGET_BANDS!$A$2:$C$9,2,FALSE),"")</f>
        <v/>
      </c>
      <c r="AP405" s="19">
        <f>IFERROR(VLOOKUP(AN405,BUDGET_BANDS!$A$2:$C$9,3,FALSE),"")</f>
        <v/>
      </c>
    </row>
    <row r="406">
      <c r="A406" s="5" t="inlineStr">
        <is>
          <t>Olivia Wilde</t>
        </is>
      </c>
      <c r="B406" s="5" t="inlineStr">
        <is>
          <t>T5</t>
        </is>
      </c>
      <c r="C406" s="5" t="inlineStr">
        <is>
          <t>Breakout</t>
        </is>
      </c>
      <c r="D406" s="5" t="inlineStr">
        <is>
          <t>US/Intl</t>
        </is>
      </c>
      <c r="E406" s="5" t="inlineStr">
        <is>
          <t>Drama</t>
        </is>
      </c>
      <c r="F406" s="5" t="inlineStr">
        <is>
          <t>Prestige drama,Thriller/Mystery</t>
        </is>
      </c>
      <c r="G406" s="5" t="inlineStr">
        <is>
          <t>Low/Mid</t>
        </is>
      </c>
      <c r="H406" s="5" t="inlineStr">
        <is>
          <t>voice-driven</t>
        </is>
      </c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>
        <is>
          <t>Seeded</t>
        </is>
      </c>
      <c r="S406" s="5" t="inlineStr">
        <is>
          <t>2026-01-29</t>
        </is>
      </c>
      <c r="T406" s="5" t="inlineStr">
        <is>
          <t>https://en.wikipedia.org/w/index.php?search=Olivia+Wilde</t>
        </is>
      </c>
      <c r="U406" s="5" t="inlineStr">
        <is>
          <t>https://www.imdb.com/find/?q=Olivia+Wilde&amp;s=nm</t>
        </is>
      </c>
      <c r="AO406" s="19">
        <f>IFERROR(VLOOKUP(AN406,BUDGET_BANDS!$A$2:$C$9,2,FALSE),"")</f>
        <v/>
      </c>
      <c r="AP406" s="19">
        <f>IFERROR(VLOOKUP(AN406,BUDGET_BANDS!$A$2:$C$9,3,FALSE),"")</f>
        <v/>
      </c>
    </row>
    <row r="407">
      <c r="A407" s="5" t="inlineStr">
        <is>
          <t>Parker Finn</t>
        </is>
      </c>
      <c r="B407" s="5" t="inlineStr">
        <is>
          <t>T5</t>
        </is>
      </c>
      <c r="C407" s="5" t="inlineStr">
        <is>
          <t>Breakout</t>
        </is>
      </c>
      <c r="D407" s="5" t="inlineStr">
        <is>
          <t>US/Intl</t>
        </is>
      </c>
      <c r="E407" s="5" t="inlineStr">
        <is>
          <t>Horror</t>
        </is>
      </c>
      <c r="F407" s="5" t="inlineStr">
        <is>
          <t>Thriller/Mystery</t>
        </is>
      </c>
      <c r="G407" s="5" t="inlineStr">
        <is>
          <t>Low</t>
        </is>
      </c>
      <c r="H407" s="5" t="inlineStr">
        <is>
          <t>fresh, high-concept</t>
        </is>
      </c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>
        <is>
          <t>Seeded</t>
        </is>
      </c>
      <c r="S407" s="5" t="inlineStr">
        <is>
          <t>2026-01-29</t>
        </is>
      </c>
      <c r="T407" s="5" t="inlineStr">
        <is>
          <t>https://en.wikipedia.org/w/index.php?search=Parker+Finn</t>
        </is>
      </c>
      <c r="U407" s="5" t="inlineStr">
        <is>
          <t>https://www.imdb.com/find/?q=Parker+Finn&amp;s=nm</t>
        </is>
      </c>
      <c r="AO407" s="19">
        <f>IFERROR(VLOOKUP(AN407,BUDGET_BANDS!$A$2:$C$9,2,FALSE),"")</f>
        <v/>
      </c>
      <c r="AP407" s="19">
        <f>IFERROR(VLOOKUP(AN407,BUDGET_BANDS!$A$2:$C$9,3,FALSE),"")</f>
        <v/>
      </c>
    </row>
    <row r="408">
      <c r="A408" s="5" t="inlineStr">
        <is>
          <t>Raine Allen-Miller</t>
        </is>
      </c>
      <c r="B408" s="5" t="inlineStr">
        <is>
          <t>T5</t>
        </is>
      </c>
      <c r="C408" s="5" t="inlineStr">
        <is>
          <t>Breakout</t>
        </is>
      </c>
      <c r="D408" s="5" t="inlineStr">
        <is>
          <t>US/Intl</t>
        </is>
      </c>
      <c r="E408" s="5" t="inlineStr">
        <is>
          <t>Drama</t>
        </is>
      </c>
      <c r="F408" s="5" t="inlineStr">
        <is>
          <t>Prestige drama,Thriller/Mystery</t>
        </is>
      </c>
      <c r="G408" s="5" t="inlineStr">
        <is>
          <t>Low/Mid</t>
        </is>
      </c>
      <c r="H408" s="5" t="inlineStr">
        <is>
          <t>voice-driven</t>
        </is>
      </c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>
        <is>
          <t>Seeded</t>
        </is>
      </c>
      <c r="S408" s="5" t="inlineStr">
        <is>
          <t>2026-01-29</t>
        </is>
      </c>
      <c r="T408" s="5" t="inlineStr">
        <is>
          <t>https://en.wikipedia.org/w/index.php?search=Raine+Allen-Miller</t>
        </is>
      </c>
      <c r="U408" s="5" t="inlineStr">
        <is>
          <t>https://www.imdb.com/find/?q=Raine+Allen-Miller&amp;s=nm</t>
        </is>
      </c>
      <c r="AO408" s="19">
        <f>IFERROR(VLOOKUP(AN408,BUDGET_BANDS!$A$2:$C$9,2,FALSE),"")</f>
        <v/>
      </c>
      <c r="AP408" s="19">
        <f>IFERROR(VLOOKUP(AN408,BUDGET_BANDS!$A$2:$C$9,3,FALSE),"")</f>
        <v/>
      </c>
    </row>
    <row r="409">
      <c r="A409" s="5" t="inlineStr">
        <is>
          <t>Raven Jackson</t>
        </is>
      </c>
      <c r="B409" s="5" t="inlineStr">
        <is>
          <t>T5</t>
        </is>
      </c>
      <c r="C409" s="5" t="inlineStr">
        <is>
          <t>Breakout</t>
        </is>
      </c>
      <c r="D409" s="5" t="inlineStr">
        <is>
          <t>US/Intl</t>
        </is>
      </c>
      <c r="E409" s="5" t="inlineStr">
        <is>
          <t>Drama</t>
        </is>
      </c>
      <c r="F409" s="5" t="inlineStr">
        <is>
          <t>Prestige drama,Thriller/Mystery</t>
        </is>
      </c>
      <c r="G409" s="5" t="inlineStr">
        <is>
          <t>Low/Mid</t>
        </is>
      </c>
      <c r="H409" s="5" t="inlineStr">
        <is>
          <t>voice-driven</t>
        </is>
      </c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>
        <is>
          <t>Seeded</t>
        </is>
      </c>
      <c r="S409" s="5" t="inlineStr">
        <is>
          <t>2026-01-29</t>
        </is>
      </c>
      <c r="T409" s="5" t="inlineStr">
        <is>
          <t>https://en.wikipedia.org/w/index.php?search=Raven+Jackson</t>
        </is>
      </c>
      <c r="U409" s="5" t="inlineStr">
        <is>
          <t>https://www.imdb.com/find/?q=Raven+Jackson&amp;s=nm</t>
        </is>
      </c>
      <c r="AO409" s="19">
        <f>IFERROR(VLOOKUP(AN409,BUDGET_BANDS!$A$2:$C$9,2,FALSE),"")</f>
        <v/>
      </c>
      <c r="AP409" s="19">
        <f>IFERROR(VLOOKUP(AN409,BUDGET_BANDS!$A$2:$C$9,3,FALSE),"")</f>
        <v/>
      </c>
    </row>
    <row r="410">
      <c r="A410" s="5" t="inlineStr">
        <is>
          <t>Rebecca Hall</t>
        </is>
      </c>
      <c r="B410" s="5" t="inlineStr">
        <is>
          <t>T5</t>
        </is>
      </c>
      <c r="C410" s="5" t="inlineStr">
        <is>
          <t>Breakout</t>
        </is>
      </c>
      <c r="D410" s="5" t="inlineStr">
        <is>
          <t>US/Intl</t>
        </is>
      </c>
      <c r="E410" s="5" t="inlineStr">
        <is>
          <t>Drama</t>
        </is>
      </c>
      <c r="F410" s="5" t="inlineStr">
        <is>
          <t>Prestige drama,Thriller/Mystery</t>
        </is>
      </c>
      <c r="G410" s="5" t="inlineStr">
        <is>
          <t>Low/Mid</t>
        </is>
      </c>
      <c r="H410" s="5" t="inlineStr">
        <is>
          <t>voice-driven</t>
        </is>
      </c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>
        <is>
          <t>Seeded</t>
        </is>
      </c>
      <c r="S410" s="5" t="inlineStr">
        <is>
          <t>2026-01-29</t>
        </is>
      </c>
      <c r="T410" s="5" t="inlineStr">
        <is>
          <t>https://en.wikipedia.org/w/index.php?search=Rebecca+Hall</t>
        </is>
      </c>
      <c r="U410" s="5" t="inlineStr">
        <is>
          <t>https://www.imdb.com/find/?q=Rebecca+Hall&amp;s=nm</t>
        </is>
      </c>
      <c r="AO410" s="19">
        <f>IFERROR(VLOOKUP(AN410,BUDGET_BANDS!$A$2:$C$9,2,FALSE),"")</f>
        <v/>
      </c>
      <c r="AP410" s="19">
        <f>IFERROR(VLOOKUP(AN410,BUDGET_BANDS!$A$2:$C$9,3,FALSE),"")</f>
        <v/>
      </c>
    </row>
    <row r="411">
      <c r="A411" s="5" t="inlineStr">
        <is>
          <t>Remi Weekes</t>
        </is>
      </c>
      <c r="B411" s="5" t="inlineStr">
        <is>
          <t>T5</t>
        </is>
      </c>
      <c r="C411" s="5" t="inlineStr">
        <is>
          <t>Breakout</t>
        </is>
      </c>
      <c r="D411" s="5" t="inlineStr">
        <is>
          <t>US/Intl</t>
        </is>
      </c>
      <c r="E411" s="5" t="inlineStr">
        <is>
          <t>Horror</t>
        </is>
      </c>
      <c r="F411" s="5" t="inlineStr">
        <is>
          <t>Thriller/Mystery</t>
        </is>
      </c>
      <c r="G411" s="5" t="inlineStr">
        <is>
          <t>Low</t>
        </is>
      </c>
      <c r="H411" s="5" t="inlineStr">
        <is>
          <t>fresh, high-concept</t>
        </is>
      </c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>
        <is>
          <t>Seeded</t>
        </is>
      </c>
      <c r="S411" s="5" t="inlineStr">
        <is>
          <t>2026-01-29</t>
        </is>
      </c>
      <c r="T411" s="5" t="inlineStr">
        <is>
          <t>https://en.wikipedia.org/w/index.php?search=Remi+Weekes</t>
        </is>
      </c>
      <c r="U411" s="5" t="inlineStr">
        <is>
          <t>https://www.imdb.com/find/?q=Remi+Weekes&amp;s=nm</t>
        </is>
      </c>
      <c r="AO411" s="19">
        <f>IFERROR(VLOOKUP(AN411,BUDGET_BANDS!$A$2:$C$9,2,FALSE),"")</f>
        <v/>
      </c>
      <c r="AP411" s="19">
        <f>IFERROR(VLOOKUP(AN411,BUDGET_BANDS!$A$2:$C$9,3,FALSE),"")</f>
        <v/>
      </c>
    </row>
    <row r="412">
      <c r="A412" s="5" t="inlineStr">
        <is>
          <t>Ritesh Batra</t>
        </is>
      </c>
      <c r="B412" s="5" t="inlineStr">
        <is>
          <t>T5</t>
        </is>
      </c>
      <c r="C412" s="5" t="inlineStr">
        <is>
          <t>Breakout</t>
        </is>
      </c>
      <c r="D412" s="5" t="inlineStr">
        <is>
          <t>Intl/US</t>
        </is>
      </c>
      <c r="E412" s="5" t="inlineStr">
        <is>
          <t>Drama</t>
        </is>
      </c>
      <c r="F412" s="5" t="inlineStr">
        <is>
          <t>Prestige drama</t>
        </is>
      </c>
      <c r="G412" s="5" t="inlineStr">
        <is>
          <t>Low/Mid</t>
        </is>
      </c>
      <c r="H412" s="5" t="inlineStr">
        <is>
          <t>voice-driven</t>
        </is>
      </c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>
        <is>
          <t>Seeded</t>
        </is>
      </c>
      <c r="S412" s="5" t="inlineStr">
        <is>
          <t>2026-01-29</t>
        </is>
      </c>
      <c r="T412" s="5" t="inlineStr">
        <is>
          <t>https://en.wikipedia.org/w/index.php?search=Ritesh+Batra</t>
        </is>
      </c>
      <c r="U412" s="5" t="inlineStr">
        <is>
          <t>https://www.imdb.com/find/?q=Ritesh+Batra&amp;s=nm</t>
        </is>
      </c>
      <c r="AO412" s="19">
        <f>IFERROR(VLOOKUP(AN412,BUDGET_BANDS!$A$2:$C$9,2,FALSE),"")</f>
        <v/>
      </c>
      <c r="AP412" s="19">
        <f>IFERROR(VLOOKUP(AN412,BUDGET_BANDS!$A$2:$C$9,3,FALSE),"")</f>
        <v/>
      </c>
    </row>
    <row r="413">
      <c r="A413" s="5" t="inlineStr">
        <is>
          <t>Rungano Nyoni</t>
        </is>
      </c>
      <c r="B413" s="5" t="inlineStr">
        <is>
          <t>T5</t>
        </is>
      </c>
      <c r="C413" s="5" t="inlineStr">
        <is>
          <t>Breakout</t>
        </is>
      </c>
      <c r="D413" s="5" t="inlineStr">
        <is>
          <t>Intl/US</t>
        </is>
      </c>
      <c r="E413" s="5" t="inlineStr">
        <is>
          <t>Drama</t>
        </is>
      </c>
      <c r="F413" s="5" t="inlineStr">
        <is>
          <t>Prestige drama</t>
        </is>
      </c>
      <c r="G413" s="5" t="inlineStr">
        <is>
          <t>Low/Mid</t>
        </is>
      </c>
      <c r="H413" s="5" t="inlineStr">
        <is>
          <t>voice-driven</t>
        </is>
      </c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>
        <is>
          <t>Seeded</t>
        </is>
      </c>
      <c r="S413" s="5" t="inlineStr">
        <is>
          <t>2026-01-29</t>
        </is>
      </c>
      <c r="T413" s="5" t="inlineStr">
        <is>
          <t>https://en.wikipedia.org/w/index.php?search=Rungano+Nyoni</t>
        </is>
      </c>
      <c r="U413" s="5" t="inlineStr">
        <is>
          <t>https://www.imdb.com/find/?q=Rungano+Nyoni&amp;s=nm</t>
        </is>
      </c>
      <c r="AO413" s="19">
        <f>IFERROR(VLOOKUP(AN413,BUDGET_BANDS!$A$2:$C$9,2,FALSE),"")</f>
        <v/>
      </c>
      <c r="AP413" s="19">
        <f>IFERROR(VLOOKUP(AN413,BUDGET_BANDS!$A$2:$C$9,3,FALSE),"")</f>
        <v/>
      </c>
    </row>
    <row r="414">
      <c r="A414" s="5" t="inlineStr">
        <is>
          <t>S. S. Rajamouli</t>
        </is>
      </c>
      <c r="B414" s="5" t="inlineStr">
        <is>
          <t>T5</t>
        </is>
      </c>
      <c r="C414" s="5" t="inlineStr">
        <is>
          <t>Breakout</t>
        </is>
      </c>
      <c r="D414" s="5" t="inlineStr">
        <is>
          <t>US/Intl</t>
        </is>
      </c>
      <c r="E414" s="5" t="inlineStr">
        <is>
          <t>Drama</t>
        </is>
      </c>
      <c r="F414" s="5" t="inlineStr">
        <is>
          <t>Prestige drama,Thriller/Mystery</t>
        </is>
      </c>
      <c r="G414" s="5" t="inlineStr">
        <is>
          <t>Low/Mid</t>
        </is>
      </c>
      <c r="H414" s="5" t="inlineStr">
        <is>
          <t>voice-driven</t>
        </is>
      </c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>
        <is>
          <t>Seeded</t>
        </is>
      </c>
      <c r="S414" s="5" t="inlineStr">
        <is>
          <t>2026-01-29</t>
        </is>
      </c>
      <c r="T414" s="5" t="inlineStr">
        <is>
          <t>https://en.wikipedia.org/w/index.php?search=S.+S.+Rajamouli</t>
        </is>
      </c>
      <c r="U414" s="5" t="inlineStr">
        <is>
          <t>https://www.imdb.com/find/?q=S.+S.+Rajamouli&amp;s=nm</t>
        </is>
      </c>
      <c r="AO414" s="19">
        <f>IFERROR(VLOOKUP(AN414,BUDGET_BANDS!$A$2:$C$9,2,FALSE),"")</f>
        <v/>
      </c>
      <c r="AP414" s="19">
        <f>IFERROR(VLOOKUP(AN414,BUDGET_BANDS!$A$2:$C$9,3,FALSE),"")</f>
        <v/>
      </c>
    </row>
    <row r="415">
      <c r="A415" s="5" t="inlineStr">
        <is>
          <t>Saim Sadiq</t>
        </is>
      </c>
      <c r="B415" s="5" t="inlineStr">
        <is>
          <t>T5</t>
        </is>
      </c>
      <c r="C415" s="5" t="inlineStr">
        <is>
          <t>Breakout</t>
        </is>
      </c>
      <c r="D415" s="5" t="inlineStr">
        <is>
          <t>Intl/US</t>
        </is>
      </c>
      <c r="E415" s="5" t="inlineStr">
        <is>
          <t>Drama</t>
        </is>
      </c>
      <c r="F415" s="5" t="inlineStr">
        <is>
          <t>Prestige drama</t>
        </is>
      </c>
      <c r="G415" s="5" t="inlineStr">
        <is>
          <t>Low/Mid</t>
        </is>
      </c>
      <c r="H415" s="5" t="inlineStr">
        <is>
          <t>voice-driven</t>
        </is>
      </c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>
        <is>
          <t>Seeded</t>
        </is>
      </c>
      <c r="S415" s="5" t="inlineStr">
        <is>
          <t>2026-01-29</t>
        </is>
      </c>
      <c r="T415" s="5" t="inlineStr">
        <is>
          <t>https://en.wikipedia.org/w/index.php?search=Saim+Sadiq</t>
        </is>
      </c>
      <c r="U415" s="5" t="inlineStr">
        <is>
          <t>https://www.imdb.com/find/?q=Saim+Sadiq&amp;s=nm</t>
        </is>
      </c>
      <c r="AO415" s="19">
        <f>IFERROR(VLOOKUP(AN415,BUDGET_BANDS!$A$2:$C$9,2,FALSE),"")</f>
        <v/>
      </c>
      <c r="AP415" s="19">
        <f>IFERROR(VLOOKUP(AN415,BUDGET_BANDS!$A$2:$C$9,3,FALSE),"")</f>
        <v/>
      </c>
    </row>
    <row r="416">
      <c r="A416" s="5" t="inlineStr">
        <is>
          <t>Savanah Leaf</t>
        </is>
      </c>
      <c r="B416" s="5" t="inlineStr">
        <is>
          <t>T5</t>
        </is>
      </c>
      <c r="C416" s="5" t="inlineStr">
        <is>
          <t>Breakout</t>
        </is>
      </c>
      <c r="D416" s="5" t="inlineStr">
        <is>
          <t>US/Intl</t>
        </is>
      </c>
      <c r="E416" s="5" t="inlineStr">
        <is>
          <t>Drama</t>
        </is>
      </c>
      <c r="F416" s="5" t="inlineStr">
        <is>
          <t>Prestige drama,Thriller/Mystery</t>
        </is>
      </c>
      <c r="G416" s="5" t="inlineStr">
        <is>
          <t>Low/Mid</t>
        </is>
      </c>
      <c r="H416" s="5" t="inlineStr">
        <is>
          <t>voice-driven</t>
        </is>
      </c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>
        <is>
          <t>Seeded</t>
        </is>
      </c>
      <c r="S416" s="5" t="inlineStr">
        <is>
          <t>2026-01-29</t>
        </is>
      </c>
      <c r="T416" s="5" t="inlineStr">
        <is>
          <t>https://en.wikipedia.org/w/index.php?search=Savanah+Leaf</t>
        </is>
      </c>
      <c r="U416" s="5" t="inlineStr">
        <is>
          <t>https://www.imdb.com/find/?q=Savanah+Leaf&amp;s=nm</t>
        </is>
      </c>
      <c r="AO416" s="19">
        <f>IFERROR(VLOOKUP(AN416,BUDGET_BANDS!$A$2:$C$9,2,FALSE),"")</f>
        <v/>
      </c>
      <c r="AP416" s="19">
        <f>IFERROR(VLOOKUP(AN416,BUDGET_BANDS!$A$2:$C$9,3,FALSE),"")</f>
        <v/>
      </c>
    </row>
    <row r="417">
      <c r="A417" s="5" t="inlineStr">
        <is>
          <t>Shaka King</t>
        </is>
      </c>
      <c r="B417" s="5" t="inlineStr">
        <is>
          <t>T5</t>
        </is>
      </c>
      <c r="C417" s="5" t="inlineStr">
        <is>
          <t>Breakout</t>
        </is>
      </c>
      <c r="D417" s="5" t="inlineStr">
        <is>
          <t>US/Intl</t>
        </is>
      </c>
      <c r="E417" s="5" t="inlineStr">
        <is>
          <t>Drama</t>
        </is>
      </c>
      <c r="F417" s="5" t="inlineStr">
        <is>
          <t>Prestige drama,Thriller/Mystery</t>
        </is>
      </c>
      <c r="G417" s="5" t="inlineStr">
        <is>
          <t>Low/Mid</t>
        </is>
      </c>
      <c r="H417" s="5" t="inlineStr">
        <is>
          <t>voice-driven</t>
        </is>
      </c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>
        <is>
          <t>Seeded</t>
        </is>
      </c>
      <c r="S417" s="5" t="inlineStr">
        <is>
          <t>2026-01-29</t>
        </is>
      </c>
      <c r="T417" s="5" t="inlineStr">
        <is>
          <t>https://en.wikipedia.org/w/index.php?search=Shaka+King</t>
        </is>
      </c>
      <c r="U417" s="5" t="inlineStr">
        <is>
          <t>https://www.imdb.com/find/?q=Shaka+King&amp;s=nm</t>
        </is>
      </c>
      <c r="AO417" s="19">
        <f>IFERROR(VLOOKUP(AN417,BUDGET_BANDS!$A$2:$C$9,2,FALSE),"")</f>
        <v/>
      </c>
      <c r="AP417" s="19">
        <f>IFERROR(VLOOKUP(AN417,BUDGET_BANDS!$A$2:$C$9,3,FALSE),"")</f>
        <v/>
      </c>
    </row>
    <row r="418">
      <c r="A418" s="5" t="inlineStr">
        <is>
          <t>Shannon Murphy</t>
        </is>
      </c>
      <c r="B418" s="5" t="inlineStr">
        <is>
          <t>T5</t>
        </is>
      </c>
      <c r="C418" s="5" t="inlineStr">
        <is>
          <t>Breakout</t>
        </is>
      </c>
      <c r="D418" s="5" t="inlineStr">
        <is>
          <t>Intl/US</t>
        </is>
      </c>
      <c r="E418" s="5" t="inlineStr">
        <is>
          <t>Drama</t>
        </is>
      </c>
      <c r="F418" s="5" t="inlineStr">
        <is>
          <t>Prestige drama</t>
        </is>
      </c>
      <c r="G418" s="5" t="inlineStr">
        <is>
          <t>Low/Mid</t>
        </is>
      </c>
      <c r="H418" s="5" t="inlineStr">
        <is>
          <t>voice-driven</t>
        </is>
      </c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>
        <is>
          <t>Seeded</t>
        </is>
      </c>
      <c r="S418" s="5" t="inlineStr">
        <is>
          <t>2026-01-29</t>
        </is>
      </c>
      <c r="T418" s="5" t="inlineStr">
        <is>
          <t>https://en.wikipedia.org/w/index.php?search=Shannon+Murphy</t>
        </is>
      </c>
      <c r="U418" s="5" t="inlineStr">
        <is>
          <t>https://www.imdb.com/find/?q=Shannon+Murphy&amp;s=nm</t>
        </is>
      </c>
      <c r="AO418" s="19">
        <f>IFERROR(VLOOKUP(AN418,BUDGET_BANDS!$A$2:$C$9,2,FALSE),"")</f>
        <v/>
      </c>
      <c r="AP418" s="19">
        <f>IFERROR(VLOOKUP(AN418,BUDGET_BANDS!$A$2:$C$9,3,FALSE),"")</f>
        <v/>
      </c>
    </row>
    <row r="419">
      <c r="A419" s="5" t="inlineStr">
        <is>
          <t>Sharmeen Obaid-Chinoy</t>
        </is>
      </c>
      <c r="B419" s="5" t="inlineStr">
        <is>
          <t>T5</t>
        </is>
      </c>
      <c r="C419" s="5" t="inlineStr">
        <is>
          <t>Breakout</t>
        </is>
      </c>
      <c r="D419" s="5" t="inlineStr">
        <is>
          <t>Intl/US</t>
        </is>
      </c>
      <c r="E419" s="5" t="inlineStr">
        <is>
          <t>Drama</t>
        </is>
      </c>
      <c r="F419" s="5" t="inlineStr">
        <is>
          <t>Prestige drama</t>
        </is>
      </c>
      <c r="G419" s="5" t="inlineStr">
        <is>
          <t>Low/Mid</t>
        </is>
      </c>
      <c r="H419" s="5" t="inlineStr">
        <is>
          <t>voice-driven</t>
        </is>
      </c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>
        <is>
          <t>Seeded</t>
        </is>
      </c>
      <c r="S419" s="5" t="inlineStr">
        <is>
          <t>2026-01-29</t>
        </is>
      </c>
      <c r="T419" s="5" t="inlineStr">
        <is>
          <t>https://en.wikipedia.org/w/index.php?search=Sharmeen+Obaid-Chinoy</t>
        </is>
      </c>
      <c r="U419" s="5" t="inlineStr">
        <is>
          <t>https://www.imdb.com/find/?q=Sharmeen+Obaid-Chinoy&amp;s=nm</t>
        </is>
      </c>
      <c r="AO419" s="19">
        <f>IFERROR(VLOOKUP(AN419,BUDGET_BANDS!$A$2:$C$9,2,FALSE),"")</f>
        <v/>
      </c>
      <c r="AP419" s="19">
        <f>IFERROR(VLOOKUP(AN419,BUDGET_BANDS!$A$2:$C$9,3,FALSE),"")</f>
        <v/>
      </c>
    </row>
    <row r="420">
      <c r="A420" s="5" t="inlineStr">
        <is>
          <t>Steven Caple Jr.</t>
        </is>
      </c>
      <c r="B420" s="5" t="inlineStr">
        <is>
          <t>T5</t>
        </is>
      </c>
      <c r="C420" s="5" t="inlineStr">
        <is>
          <t>Breakout</t>
        </is>
      </c>
      <c r="D420" s="5" t="inlineStr">
        <is>
          <t>US/Intl</t>
        </is>
      </c>
      <c r="E420" s="5" t="inlineStr">
        <is>
          <t>Drama</t>
        </is>
      </c>
      <c r="F420" s="5" t="inlineStr">
        <is>
          <t>Prestige drama,Thriller/Mystery</t>
        </is>
      </c>
      <c r="G420" s="5" t="inlineStr">
        <is>
          <t>Low/Mid</t>
        </is>
      </c>
      <c r="H420" s="5" t="inlineStr">
        <is>
          <t>voice-driven</t>
        </is>
      </c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>
        <is>
          <t>Seeded</t>
        </is>
      </c>
      <c r="S420" s="5" t="inlineStr">
        <is>
          <t>2026-01-29</t>
        </is>
      </c>
      <c r="T420" s="5" t="inlineStr">
        <is>
          <t>https://en.wikipedia.org/w/index.php?search=Steven+Caple+Jr.</t>
        </is>
      </c>
      <c r="U420" s="5" t="inlineStr">
        <is>
          <t>https://www.imdb.com/find/?q=Steven+Caple+Jr.&amp;s=nm</t>
        </is>
      </c>
      <c r="AO420" s="19">
        <f>IFERROR(VLOOKUP(AN420,BUDGET_BANDS!$A$2:$C$9,2,FALSE),"")</f>
        <v/>
      </c>
      <c r="AP420" s="19">
        <f>IFERROR(VLOOKUP(AN420,BUDGET_BANDS!$A$2:$C$9,3,FALSE),"")</f>
        <v/>
      </c>
    </row>
    <row r="421">
      <c r="A421" s="5" t="inlineStr">
        <is>
          <t>Zach Cregger</t>
        </is>
      </c>
      <c r="B421" s="5" t="inlineStr">
        <is>
          <t>T5</t>
        </is>
      </c>
      <c r="C421" s="5" t="inlineStr">
        <is>
          <t>Breakout</t>
        </is>
      </c>
      <c r="D421" s="5" t="inlineStr">
        <is>
          <t>US/Intl</t>
        </is>
      </c>
      <c r="E421" s="5" t="inlineStr">
        <is>
          <t>Horror</t>
        </is>
      </c>
      <c r="F421" s="5" t="inlineStr">
        <is>
          <t>Thriller/Mystery</t>
        </is>
      </c>
      <c r="G421" s="5" t="inlineStr">
        <is>
          <t>Low</t>
        </is>
      </c>
      <c r="H421" s="5" t="inlineStr">
        <is>
          <t>fresh, high-concept</t>
        </is>
      </c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>
        <is>
          <t>Seeded</t>
        </is>
      </c>
      <c r="S421" s="5" t="inlineStr">
        <is>
          <t>2026-01-29</t>
        </is>
      </c>
      <c r="T421" s="5" t="inlineStr">
        <is>
          <t>https://en.wikipedia.org/w/index.php?search=Zach+Cregger</t>
        </is>
      </c>
      <c r="U421" s="5" t="inlineStr">
        <is>
          <t>https://www.imdb.com/find/?q=Zach+Cregger&amp;s=nm</t>
        </is>
      </c>
      <c r="AO421" s="19">
        <f>IFERROR(VLOOKUP(AN421,BUDGET_BANDS!$A$2:$C$9,2,FALSE),"")</f>
        <v/>
      </c>
      <c r="AP421" s="19">
        <f>IFERROR(VLOOKUP(AN421,BUDGET_BANDS!$A$2:$C$9,3,FALSE),"")</f>
        <v/>
      </c>
    </row>
    <row r="422">
      <c r="A422" s="5" t="inlineStr">
        <is>
          <t>Zoe Kravitz</t>
        </is>
      </c>
      <c r="B422" s="5" t="inlineStr">
        <is>
          <t>T5</t>
        </is>
      </c>
      <c r="C422" s="5" t="inlineStr">
        <is>
          <t>Breakout</t>
        </is>
      </c>
      <c r="D422" s="5" t="inlineStr">
        <is>
          <t>US/UK</t>
        </is>
      </c>
      <c r="E422" s="5" t="inlineStr">
        <is>
          <t>Comedy</t>
        </is>
      </c>
      <c r="F422" s="5" t="inlineStr">
        <is>
          <t>Drama</t>
        </is>
      </c>
      <c r="G422" s="5" t="inlineStr">
        <is>
          <t>Low/Mid</t>
        </is>
      </c>
      <c r="H422" s="5" t="inlineStr">
        <is>
          <t>voice-driven</t>
        </is>
      </c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>
        <is>
          <t>Seeded</t>
        </is>
      </c>
      <c r="S422" s="5" t="inlineStr">
        <is>
          <t>2026-01-29</t>
        </is>
      </c>
      <c r="T422" s="5" t="inlineStr">
        <is>
          <t>https://en.wikipedia.org/w/index.php?search=Zoe+Kravitz</t>
        </is>
      </c>
      <c r="U422" s="5" t="inlineStr">
        <is>
          <t>https://www.imdb.com/find/?q=Zoe+Kravitz&amp;s=nm</t>
        </is>
      </c>
      <c r="AO422" s="19">
        <f>IFERROR(VLOOKUP(AN422,BUDGET_BANDS!$A$2:$C$9,2,FALSE),"")</f>
        <v/>
      </c>
      <c r="AP422" s="19">
        <f>IFERROR(VLOOKUP(AN422,BUDGET_BANDS!$A$2:$C$9,3,FALSE),"")</f>
        <v/>
      </c>
    </row>
  </sheetData>
  <dataValidations count="1">
    <dataValidation sqref="AN2:AN422" showDropDown="0" showInputMessage="0" showErrorMessage="0" allowBlank="1" type="list">
      <formula1>=BUDGET_BANDS!$A$2:$A$9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4" customWidth="1" min="4" max="4"/>
    <col width="18" customWidth="1" min="5" max="5"/>
    <col width="28" customWidth="1" min="6" max="6"/>
    <col width="14" customWidth="1" min="7" max="7"/>
    <col width="22" customWidth="1" min="8" max="8"/>
    <col width="30" customWidth="1" min="9" max="9"/>
    <col width="28" customWidth="1" min="10" max="10"/>
    <col width="12" customWidth="1" min="11" max="11"/>
    <col width="18" customWidth="1" min="12" max="12"/>
    <col width="30" customWidth="1" min="13" max="13"/>
    <col width="20" customWidth="1" min="14" max="14"/>
    <col width="12" customWidth="1" min="15" max="15"/>
    <col width="30" customWidth="1" min="16" max="16"/>
    <col width="28" customWidth="1" min="17" max="17"/>
    <col width="16" customWidth="1" min="18" max="18"/>
    <col width="12" customWidth="1" min="19" max="19"/>
    <col width="30" customWidth="1" min="20" max="20"/>
    <col width="30" customWidth="1" min="21" max="21"/>
    <col width="30" customWidth="1" min="22" max="22"/>
    <col width="14" customWidth="1" min="23" max="23"/>
    <col width="24" customWidth="1" min="24" max="24"/>
    <col width="14" customWidth="1" min="25" max="25"/>
    <col width="16" customWidth="1" min="26" max="26"/>
    <col width="16" customWidth="1" min="27" max="27"/>
    <col width="16" customWidth="1" min="28" max="28"/>
    <col width="24" customWidth="1" min="29" max="29"/>
    <col width="14" customWidth="1" min="30" max="30"/>
    <col width="16" customWidth="1" min="31" max="31"/>
    <col width="16" customWidth="1" min="32" max="32"/>
    <col width="16" customWidth="1" min="33" max="33"/>
    <col width="24" customWidth="1" min="34" max="34"/>
    <col width="14" customWidth="1" min="35" max="35"/>
    <col width="16" customWidth="1" min="36" max="36"/>
    <col width="16" customWidth="1" min="37" max="37"/>
    <col width="16" customWidth="1" min="38" max="38"/>
    <col width="16" customWidth="1" min="39" max="39"/>
    <col width="22" customWidth="1" min="40" max="40"/>
    <col width="16" customWidth="1" min="41" max="41"/>
    <col width="16" customWidth="1" min="42" max="42"/>
  </cols>
  <sheetData>
    <row r="1">
      <c r="A1" s="20" t="inlineStr">
        <is>
          <t>Workman Pool (Tier T3) — auto-filtered from UNIVERSE</t>
        </is>
      </c>
    </row>
    <row r="3">
      <c r="A3" s="10" t="inlineStr">
        <is>
          <t>Tip: In Google Sheets, this will spill a live table. If Excel doesn't support FILTER, just use UNIVERSE filters.</t>
        </is>
      </c>
    </row>
    <row r="5">
      <c r="A5" s="21" t="inlineStr">
        <is>
          <t>Director</t>
        </is>
      </c>
      <c r="B5" s="21" t="inlineStr">
        <is>
          <t>Tier</t>
        </is>
      </c>
      <c r="C5" s="21" t="inlineStr">
        <is>
          <t>CareerPhase</t>
        </is>
      </c>
      <c r="D5" s="21" t="inlineStr">
        <is>
          <t>Region</t>
        </is>
      </c>
      <c r="E5" s="21" t="inlineStr">
        <is>
          <t>PrimaryLane</t>
        </is>
      </c>
      <c r="F5" s="21" t="inlineStr">
        <is>
          <t>SecondaryLanes</t>
        </is>
      </c>
      <c r="G5" s="21" t="inlineStr">
        <is>
          <t>ScaleProven</t>
        </is>
      </c>
      <c r="H5" s="21" t="inlineStr">
        <is>
          <t>TonalDNA</t>
        </is>
      </c>
      <c r="I5" s="21" t="inlineStr">
        <is>
          <t>Last3Features</t>
        </is>
      </c>
      <c r="J5" s="21" t="inlineStr">
        <is>
          <t>LastFilm</t>
        </is>
      </c>
      <c r="K5" s="21" t="inlineStr">
        <is>
          <t>LastFilmYear</t>
        </is>
      </c>
      <c r="L5" s="21" t="inlineStr">
        <is>
          <t>LastFilmType</t>
        </is>
      </c>
      <c r="M5" s="21" t="inlineStr">
        <is>
          <t>NextProject</t>
        </is>
      </c>
      <c r="N5" s="21" t="inlineStr">
        <is>
          <t>NextStatus</t>
        </is>
      </c>
      <c r="O5" s="21" t="inlineStr">
        <is>
          <t>ActorMagnet</t>
        </is>
      </c>
      <c r="P5" s="21" t="inlineStr">
        <is>
          <t>PackagingNotes</t>
        </is>
      </c>
      <c r="Q5" s="21" t="inlineStr">
        <is>
          <t>OpsNotes</t>
        </is>
      </c>
      <c r="R5" s="21" t="inlineStr">
        <is>
          <t>ResearchStatus</t>
        </is>
      </c>
      <c r="S5" s="21" t="inlineStr">
        <is>
          <t>SeededOn</t>
        </is>
      </c>
      <c r="T5" s="21" t="inlineStr">
        <is>
          <t>WikipediaSearch</t>
        </is>
      </c>
      <c r="U5" s="21" t="inlineStr">
        <is>
          <t>IMDbSearch</t>
        </is>
      </c>
      <c r="V5" s="21" t="inlineStr">
        <is>
          <t>TheNumbersURL</t>
        </is>
      </c>
      <c r="W5" s="21" t="inlineStr">
        <is>
          <t>Last3_Source</t>
        </is>
      </c>
      <c r="X5" s="21" t="inlineStr">
        <is>
          <t>Film1_Title</t>
        </is>
      </c>
      <c r="Y5" s="21" t="inlineStr">
        <is>
          <t>Film1_ReleaseDate</t>
        </is>
      </c>
      <c r="Z5" s="21" t="inlineStr">
        <is>
          <t>Film1_DomesticGrossUSD</t>
        </is>
      </c>
      <c r="AA5" s="21" t="inlineStr">
        <is>
          <t>Film1_IntlGrossUSD</t>
        </is>
      </c>
      <c r="AB5" s="21" t="inlineStr">
        <is>
          <t>Film1_WWGrossUSD</t>
        </is>
      </c>
      <c r="AC5" s="21" t="inlineStr">
        <is>
          <t>Film2_Title</t>
        </is>
      </c>
      <c r="AD5" s="21" t="inlineStr">
        <is>
          <t>Film2_ReleaseDate</t>
        </is>
      </c>
      <c r="AE5" s="21" t="inlineStr">
        <is>
          <t>Film2_DomesticGrossUSD</t>
        </is>
      </c>
      <c r="AF5" s="21" t="inlineStr">
        <is>
          <t>Film2_IntlGrossUSD</t>
        </is>
      </c>
      <c r="AG5" s="21" t="inlineStr">
        <is>
          <t>Film2_WWGrossUSD</t>
        </is>
      </c>
      <c r="AH5" s="21" t="inlineStr">
        <is>
          <t>Film3_Title</t>
        </is>
      </c>
      <c r="AI5" s="21" t="inlineStr">
        <is>
          <t>Film3_ReleaseDate</t>
        </is>
      </c>
      <c r="AJ5" s="21" t="inlineStr">
        <is>
          <t>Film3_DomesticGrossUSD</t>
        </is>
      </c>
      <c r="AK5" s="21" t="inlineStr">
        <is>
          <t>Film3_IntlGrossUSD</t>
        </is>
      </c>
      <c r="AL5" s="21" t="inlineStr">
        <is>
          <t>Film3_WWGrossUSD</t>
        </is>
      </c>
      <c r="AM5" s="21" t="inlineStr">
        <is>
          <t>LastFilmWWGrossUSD</t>
        </is>
      </c>
      <c r="AN5" s="21" t="inlineStr">
        <is>
          <t>BudgetBandTypical</t>
        </is>
      </c>
      <c r="AO5" s="21" t="inlineStr">
        <is>
          <t>BudgetBandLowUSD</t>
        </is>
      </c>
      <c r="AP5" s="21" t="inlineStr">
        <is>
          <t>BudgetBandHighUSD</t>
        </is>
      </c>
    </row>
    <row r="6">
      <c r="A6">
        <f>FILTER(UNIVERSE!A1:AP,UNIVERSE!B1:B="T3")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4" customWidth="1" min="4" max="4"/>
    <col width="18" customWidth="1" min="5" max="5"/>
    <col width="28" customWidth="1" min="6" max="6"/>
    <col width="14" customWidth="1" min="7" max="7"/>
    <col width="22" customWidth="1" min="8" max="8"/>
    <col width="30" customWidth="1" min="9" max="9"/>
    <col width="28" customWidth="1" min="10" max="10"/>
    <col width="12" customWidth="1" min="11" max="11"/>
    <col width="18" customWidth="1" min="12" max="12"/>
    <col width="30" customWidth="1" min="13" max="13"/>
    <col width="20" customWidth="1" min="14" max="14"/>
    <col width="12" customWidth="1" min="15" max="15"/>
    <col width="30" customWidth="1" min="16" max="16"/>
    <col width="28" customWidth="1" min="17" max="17"/>
    <col width="16" customWidth="1" min="18" max="18"/>
    <col width="12" customWidth="1" min="19" max="19"/>
    <col width="30" customWidth="1" min="20" max="20"/>
    <col width="30" customWidth="1" min="21" max="21"/>
    <col width="30" customWidth="1" min="22" max="22"/>
    <col width="14" customWidth="1" min="23" max="23"/>
    <col width="24" customWidth="1" min="24" max="24"/>
    <col width="14" customWidth="1" min="25" max="25"/>
    <col width="16" customWidth="1" min="26" max="26"/>
    <col width="16" customWidth="1" min="27" max="27"/>
    <col width="16" customWidth="1" min="28" max="28"/>
    <col width="24" customWidth="1" min="29" max="29"/>
    <col width="14" customWidth="1" min="30" max="30"/>
    <col width="16" customWidth="1" min="31" max="31"/>
    <col width="16" customWidth="1" min="32" max="32"/>
    <col width="16" customWidth="1" min="33" max="33"/>
    <col width="24" customWidth="1" min="34" max="34"/>
    <col width="14" customWidth="1" min="35" max="35"/>
    <col width="16" customWidth="1" min="36" max="36"/>
    <col width="16" customWidth="1" min="37" max="37"/>
    <col width="16" customWidth="1" min="38" max="38"/>
    <col width="16" customWidth="1" min="39" max="39"/>
    <col width="22" customWidth="1" min="40" max="40"/>
    <col width="16" customWidth="1" min="41" max="41"/>
    <col width="16" customWidth="1" min="42" max="42"/>
  </cols>
  <sheetData>
    <row r="1">
      <c r="A1" s="20" t="inlineStr">
        <is>
          <t>Up &amp; Comers (Tier T5 + Breakout) — auto-filtered from UNIVERSE</t>
        </is>
      </c>
    </row>
    <row r="5">
      <c r="A5" s="22" t="inlineStr">
        <is>
          <t>Director</t>
        </is>
      </c>
      <c r="B5" s="22" t="inlineStr">
        <is>
          <t>Tier</t>
        </is>
      </c>
      <c r="C5" s="22" t="inlineStr">
        <is>
          <t>CareerPhase</t>
        </is>
      </c>
      <c r="D5" s="22" t="inlineStr">
        <is>
          <t>Region</t>
        </is>
      </c>
      <c r="E5" s="22" t="inlineStr">
        <is>
          <t>PrimaryLane</t>
        </is>
      </c>
      <c r="F5" s="22" t="inlineStr">
        <is>
          <t>SecondaryLanes</t>
        </is>
      </c>
      <c r="G5" s="22" t="inlineStr">
        <is>
          <t>ScaleProven</t>
        </is>
      </c>
      <c r="H5" s="22" t="inlineStr">
        <is>
          <t>TonalDNA</t>
        </is>
      </c>
      <c r="I5" s="22" t="inlineStr">
        <is>
          <t>Last3Features</t>
        </is>
      </c>
      <c r="J5" s="22" t="inlineStr">
        <is>
          <t>LastFilm</t>
        </is>
      </c>
      <c r="K5" s="22" t="inlineStr">
        <is>
          <t>LastFilmYear</t>
        </is>
      </c>
      <c r="L5" s="22" t="inlineStr">
        <is>
          <t>LastFilmType</t>
        </is>
      </c>
      <c r="M5" s="22" t="inlineStr">
        <is>
          <t>NextProject</t>
        </is>
      </c>
      <c r="N5" s="22" t="inlineStr">
        <is>
          <t>NextStatus</t>
        </is>
      </c>
      <c r="O5" s="22" t="inlineStr">
        <is>
          <t>ActorMagnet</t>
        </is>
      </c>
      <c r="P5" s="22" t="inlineStr">
        <is>
          <t>PackagingNotes</t>
        </is>
      </c>
      <c r="Q5" s="22" t="inlineStr">
        <is>
          <t>OpsNotes</t>
        </is>
      </c>
      <c r="R5" s="22" t="inlineStr">
        <is>
          <t>ResearchStatus</t>
        </is>
      </c>
      <c r="S5" s="22" t="inlineStr">
        <is>
          <t>SeededOn</t>
        </is>
      </c>
      <c r="T5" s="22" t="inlineStr">
        <is>
          <t>WikipediaSearch</t>
        </is>
      </c>
      <c r="U5" s="22" t="inlineStr">
        <is>
          <t>IMDbSearch</t>
        </is>
      </c>
      <c r="V5" s="22" t="inlineStr">
        <is>
          <t>TheNumbersURL</t>
        </is>
      </c>
      <c r="W5" s="22" t="inlineStr">
        <is>
          <t>Last3_Source</t>
        </is>
      </c>
      <c r="X5" s="22" t="inlineStr">
        <is>
          <t>Film1_Title</t>
        </is>
      </c>
      <c r="Y5" s="22" t="inlineStr">
        <is>
          <t>Film1_ReleaseDate</t>
        </is>
      </c>
      <c r="Z5" s="22" t="inlineStr">
        <is>
          <t>Film1_DomesticGrossUSD</t>
        </is>
      </c>
      <c r="AA5" s="22" t="inlineStr">
        <is>
          <t>Film1_IntlGrossUSD</t>
        </is>
      </c>
      <c r="AB5" s="22" t="inlineStr">
        <is>
          <t>Film1_WWGrossUSD</t>
        </is>
      </c>
      <c r="AC5" s="22" t="inlineStr">
        <is>
          <t>Film2_Title</t>
        </is>
      </c>
      <c r="AD5" s="22" t="inlineStr">
        <is>
          <t>Film2_ReleaseDate</t>
        </is>
      </c>
      <c r="AE5" s="22" t="inlineStr">
        <is>
          <t>Film2_DomesticGrossUSD</t>
        </is>
      </c>
      <c r="AF5" s="22" t="inlineStr">
        <is>
          <t>Film2_IntlGrossUSD</t>
        </is>
      </c>
      <c r="AG5" s="22" t="inlineStr">
        <is>
          <t>Film2_WWGrossUSD</t>
        </is>
      </c>
      <c r="AH5" s="22" t="inlineStr">
        <is>
          <t>Film3_Title</t>
        </is>
      </c>
      <c r="AI5" s="22" t="inlineStr">
        <is>
          <t>Film3_ReleaseDate</t>
        </is>
      </c>
      <c r="AJ5" s="22" t="inlineStr">
        <is>
          <t>Film3_DomesticGrossUSD</t>
        </is>
      </c>
      <c r="AK5" s="22" t="inlineStr">
        <is>
          <t>Film3_IntlGrossUSD</t>
        </is>
      </c>
      <c r="AL5" s="22" t="inlineStr">
        <is>
          <t>Film3_WWGrossUSD</t>
        </is>
      </c>
      <c r="AM5" s="22" t="inlineStr">
        <is>
          <t>LastFilmWWGrossUSD</t>
        </is>
      </c>
      <c r="AN5" s="22" t="inlineStr">
        <is>
          <t>BudgetBandTypical</t>
        </is>
      </c>
      <c r="AO5" s="22" t="inlineStr">
        <is>
          <t>BudgetBandLowUSD</t>
        </is>
      </c>
      <c r="AP5" s="22" t="inlineStr">
        <is>
          <t>BudgetBandHighUSD</t>
        </is>
      </c>
    </row>
    <row r="6">
      <c r="A6">
        <f>FILTER(UNIVERSE!A1:AP, (UNIVERSE!B1:B="T5") + (UNIVERSE!C1:C="Breakout") 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 ht="28" customHeight="1">
      <c r="A1" s="4" t="inlineStr">
        <is>
          <t>List Name</t>
        </is>
      </c>
      <c r="B1" s="4" t="inlineStr">
        <is>
          <t>Value</t>
        </is>
      </c>
    </row>
    <row r="2">
      <c r="A2" s="7" t="inlineStr">
        <is>
          <t>Tier</t>
        </is>
      </c>
      <c r="B2" s="7" t="inlineStr">
        <is>
          <t>T0</t>
        </is>
      </c>
    </row>
    <row r="3">
      <c r="A3" s="7" t="inlineStr">
        <is>
          <t>Tier</t>
        </is>
      </c>
      <c r="B3" s="7" t="inlineStr">
        <is>
          <t>T1</t>
        </is>
      </c>
    </row>
    <row r="4">
      <c r="A4" s="7" t="inlineStr">
        <is>
          <t>Tier</t>
        </is>
      </c>
      <c r="B4" s="7" t="inlineStr">
        <is>
          <t>T2</t>
        </is>
      </c>
    </row>
    <row r="5">
      <c r="A5" s="7" t="inlineStr">
        <is>
          <t>Tier</t>
        </is>
      </c>
      <c r="B5" s="7" t="inlineStr">
        <is>
          <t>T3</t>
        </is>
      </c>
    </row>
    <row r="6">
      <c r="A6" t="inlineStr">
        <is>
          <t>Tier</t>
        </is>
      </c>
      <c r="B6" t="inlineStr">
        <is>
          <t>T4</t>
        </is>
      </c>
    </row>
    <row r="7">
      <c r="A7" t="inlineStr">
        <is>
          <t>Tier</t>
        </is>
      </c>
      <c r="B7" t="inlineStr">
        <is>
          <t>T5</t>
        </is>
      </c>
    </row>
    <row r="8">
      <c r="A8" s="7" t="inlineStr">
        <is>
          <t>CareerPhase</t>
        </is>
      </c>
      <c r="B8" s="7" t="inlineStr">
        <is>
          <t>Breakout</t>
        </is>
      </c>
    </row>
    <row r="9">
      <c r="A9" s="7" t="inlineStr">
        <is>
          <t>CareerPhase</t>
        </is>
      </c>
      <c r="B9" s="7" t="inlineStr">
        <is>
          <t>Hot</t>
        </is>
      </c>
    </row>
    <row r="10">
      <c r="A10" s="7" t="inlineStr">
        <is>
          <t>CareerPhase</t>
        </is>
      </c>
      <c r="B10" s="7" t="inlineStr">
        <is>
          <t>Established</t>
        </is>
      </c>
    </row>
    <row r="11">
      <c r="A11" s="7" t="inlineStr">
        <is>
          <t>CareerPhase</t>
        </is>
      </c>
      <c r="B11" s="7" t="inlineStr">
        <is>
          <t>Peak (Event filmmaker)</t>
        </is>
      </c>
    </row>
    <row r="12">
      <c r="A12" s="7" t="inlineStr">
        <is>
          <t>CareerPhase</t>
        </is>
      </c>
      <c r="B12" s="7" t="inlineStr">
        <is>
          <t>Legacy peak</t>
        </is>
      </c>
    </row>
    <row r="13">
      <c r="A13" s="7" t="inlineStr">
        <is>
          <t>CareerPhase</t>
        </is>
      </c>
      <c r="B13" s="7" t="inlineStr">
        <is>
          <t>Rebuild/next swing</t>
        </is>
      </c>
    </row>
    <row r="14">
      <c r="A14" s="7" t="inlineStr">
        <is>
          <t>CareerPhase</t>
        </is>
      </c>
      <c r="B14" s="7" t="inlineStr">
        <is>
          <t>Selective</t>
        </is>
      </c>
    </row>
    <row r="15">
      <c r="A15" s="7" t="inlineStr">
        <is>
          <t>CareerPhase</t>
        </is>
      </c>
      <c r="B15" s="7" t="inlineStr">
        <is>
          <t>Peak (Prestige + tentpole)</t>
        </is>
      </c>
    </row>
    <row r="16">
      <c r="A16" s="7" t="inlineStr">
        <is>
          <t>CareerPhase</t>
        </is>
      </c>
      <c r="B16" s="7" t="inlineStr">
        <is>
          <t>Peak (franchise architect + director)</t>
        </is>
      </c>
    </row>
    <row r="17">
      <c r="A17" s="7" t="inlineStr">
        <is>
          <t>CareerPhase</t>
        </is>
      </c>
      <c r="B17" s="7" t="inlineStr">
        <is>
          <t>Established (high output)</t>
        </is>
      </c>
    </row>
    <row r="18">
      <c r="A18" s="7" t="inlineStr">
        <is>
          <t>NextStatus</t>
        </is>
      </c>
      <c r="B18" s="7" t="inlineStr">
        <is>
          <t>Announced / in development</t>
        </is>
      </c>
    </row>
    <row r="19">
      <c r="A19" s="7" t="inlineStr">
        <is>
          <t>NextStatus</t>
        </is>
      </c>
      <c r="B19" s="7" t="inlineStr">
        <is>
          <t>Announced</t>
        </is>
      </c>
    </row>
    <row r="20">
      <c r="A20" s="7" t="inlineStr">
        <is>
          <t>NextStatus</t>
        </is>
      </c>
      <c r="B20" s="7" t="inlineStr">
        <is>
          <t>Scheduled</t>
        </is>
      </c>
    </row>
    <row r="21">
      <c r="A21" s="7" t="inlineStr">
        <is>
          <t>NextStatus</t>
        </is>
      </c>
      <c r="B21" s="7" t="inlineStr">
        <is>
          <t>Post-production</t>
        </is>
      </c>
    </row>
    <row r="22">
      <c r="A22" s="7" t="inlineStr">
        <is>
          <t>NextStatus</t>
        </is>
      </c>
      <c r="B22" s="7" t="inlineStr">
        <is>
          <t>Pre-production</t>
        </is>
      </c>
    </row>
    <row r="23">
      <c r="A23" s="7" t="inlineStr">
        <is>
          <t>NextStatus</t>
        </is>
      </c>
      <c r="B23" s="7" t="inlineStr">
        <is>
          <t>In production</t>
        </is>
      </c>
    </row>
    <row r="24">
      <c r="A24" s="7" t="inlineStr">
        <is>
          <t>NextStatus</t>
        </is>
      </c>
      <c r="B24" s="7" t="inlineStr">
        <is>
          <t>Releasing</t>
        </is>
      </c>
    </row>
    <row r="25">
      <c r="A25" s="7" t="inlineStr">
        <is>
          <t>NextStatus</t>
        </is>
      </c>
      <c r="B25" s="7" t="inlineStr">
        <is>
          <t>TBD</t>
        </is>
      </c>
    </row>
    <row r="26">
      <c r="A26" s="7" t="inlineStr">
        <is>
          <t>NextStatus</t>
        </is>
      </c>
      <c r="B26" s="7" t="inlineStr">
        <is>
          <t>In talks / announced package</t>
        </is>
      </c>
    </row>
    <row r="27">
      <c r="A27" s="7" t="inlineStr">
        <is>
          <t>NextStatus</t>
        </is>
      </c>
      <c r="B27" s="7" t="inlineStr">
        <is>
          <t>Post-production/announced release</t>
        </is>
      </c>
    </row>
    <row r="28">
      <c r="A28" s="7" t="inlineStr">
        <is>
          <t>NextStatus</t>
        </is>
      </c>
      <c r="B28" s="7" t="inlineStr">
        <is>
          <t>Confirmed next film (announced)</t>
        </is>
      </c>
    </row>
    <row r="29">
      <c r="A29" s="7" t="inlineStr">
        <is>
          <t>NextStatus</t>
        </is>
      </c>
      <c r="B29" s="7" t="inlineStr">
        <is>
          <t>Reported / unconfirmed</t>
        </is>
      </c>
    </row>
    <row r="30">
      <c r="A30" s="7" t="inlineStr">
        <is>
          <t>AvailabilityConf</t>
        </is>
      </c>
      <c r="B30" s="7" t="inlineStr">
        <is>
          <t>High</t>
        </is>
      </c>
    </row>
    <row r="31">
      <c r="A31" s="7" t="inlineStr">
        <is>
          <t>AvailabilityConf</t>
        </is>
      </c>
      <c r="B31" s="7" t="inlineStr">
        <is>
          <t>Med</t>
        </is>
      </c>
    </row>
    <row r="32">
      <c r="A32" s="7" t="inlineStr">
        <is>
          <t>AvailabilityConf</t>
        </is>
      </c>
      <c r="B32" s="7" t="inlineStr">
        <is>
          <t>Low</t>
        </is>
      </c>
    </row>
    <row r="33">
      <c r="A33" s="7" t="inlineStr">
        <is>
          <t>FilmType</t>
        </is>
      </c>
      <c r="B33" s="7" t="inlineStr">
        <is>
          <t>Theatrical</t>
        </is>
      </c>
    </row>
    <row r="34">
      <c r="A34" s="7" t="inlineStr">
        <is>
          <t>FilmType</t>
        </is>
      </c>
      <c r="B34" s="7" t="inlineStr">
        <is>
          <t>Streamer</t>
        </is>
      </c>
    </row>
    <row r="35">
      <c r="A35" s="7" t="inlineStr">
        <is>
          <t>FilmType</t>
        </is>
      </c>
      <c r="B35" s="7" t="inlineStr">
        <is>
          <t>Theatrical+streamer</t>
        </is>
      </c>
    </row>
    <row r="36">
      <c r="A36" s="7" t="inlineStr">
        <is>
          <t>FilmType</t>
        </is>
      </c>
      <c r="B36" s="7" t="inlineStr">
        <is>
          <t>Streamer + limited theatrical</t>
        </is>
      </c>
    </row>
    <row r="37">
      <c r="A37" s="7" t="inlineStr">
        <is>
          <t>FilmType</t>
        </is>
      </c>
      <c r="B37" s="7" t="inlineStr">
        <is>
          <t>Theatrical (limited)</t>
        </is>
      </c>
    </row>
    <row r="38">
      <c r="A38" s="7" t="inlineStr">
        <is>
          <t>FilmType</t>
        </is>
      </c>
      <c r="B38" s="7" t="inlineStr">
        <is>
          <t>Theatrical+HBO Max (pandemic)</t>
        </is>
      </c>
    </row>
    <row r="39">
      <c r="A39" s="7" t="inlineStr">
        <is>
          <t>PrimaryLane</t>
        </is>
      </c>
      <c r="B39" s="7" t="inlineStr">
        <is>
          <t>Action</t>
        </is>
      </c>
    </row>
    <row r="40">
      <c r="A40" s="7" t="inlineStr">
        <is>
          <t>PrimaryLane</t>
        </is>
      </c>
      <c r="B40" s="7" t="inlineStr">
        <is>
          <t>Action-comedy</t>
        </is>
      </c>
    </row>
    <row r="41">
      <c r="A41" s="7" t="inlineStr">
        <is>
          <t>PrimaryLane</t>
        </is>
      </c>
      <c r="B41" s="7" t="inlineStr">
        <is>
          <t>Horror</t>
        </is>
      </c>
    </row>
    <row r="42">
      <c r="A42" s="7" t="inlineStr">
        <is>
          <t>PrimaryLane</t>
        </is>
      </c>
      <c r="B42" s="7" t="inlineStr">
        <is>
          <t>Thriller/Mystery</t>
        </is>
      </c>
    </row>
    <row r="43">
      <c r="A43" s="7" t="inlineStr">
        <is>
          <t>PrimaryLane</t>
        </is>
      </c>
      <c r="B43" s="7" t="inlineStr">
        <is>
          <t>Sci-fi</t>
        </is>
      </c>
    </row>
    <row r="44">
      <c r="A44" s="7" t="inlineStr">
        <is>
          <t>PrimaryLane</t>
        </is>
      </c>
      <c r="B44" s="7" t="inlineStr">
        <is>
          <t>Prestige drama</t>
        </is>
      </c>
    </row>
    <row r="45">
      <c r="A45" s="7" t="inlineStr">
        <is>
          <t>PrimaryLane</t>
        </is>
      </c>
      <c r="B45" s="7" t="inlineStr">
        <is>
          <t>Historical/Epic</t>
        </is>
      </c>
    </row>
    <row r="46">
      <c r="A46" s="7" t="inlineStr">
        <is>
          <t>PrimaryLane</t>
        </is>
      </c>
      <c r="B46" s="7" t="inlineStr">
        <is>
          <t>Family</t>
        </is>
      </c>
    </row>
    <row r="47">
      <c r="A47" s="7" t="inlineStr">
        <is>
          <t>PrimaryLane</t>
        </is>
      </c>
      <c r="B47" s="7" t="inlineStr">
        <is>
          <t>Fantasy</t>
        </is>
      </c>
    </row>
    <row r="48">
      <c r="A48" t="inlineStr">
        <is>
          <t>PrimaryLane</t>
        </is>
      </c>
      <c r="B48" t="inlineStr">
        <is>
          <t>Comedy</t>
        </is>
      </c>
    </row>
    <row r="49">
      <c r="A49" t="inlineStr">
        <is>
          <t>PrimaryLane</t>
        </is>
      </c>
      <c r="B49" t="inlineStr">
        <is>
          <t>Drama</t>
        </is>
      </c>
    </row>
    <row r="50">
      <c r="A50" t="inlineStr">
        <is>
          <t>PrimaryLane</t>
        </is>
      </c>
      <c r="B50" t="inlineStr">
        <is>
          <t>Crime/Heist</t>
        </is>
      </c>
    </row>
    <row r="51">
      <c r="A51" t="inlineStr">
        <is>
          <t>PrimaryLane</t>
        </is>
      </c>
      <c r="B51" t="inlineStr">
        <is>
          <t>Romantic comedy</t>
        </is>
      </c>
    </row>
    <row r="52">
      <c r="A52" t="inlineStr">
        <is>
          <t>PrimaryLane</t>
        </is>
      </c>
      <c r="B52" t="inlineStr">
        <is>
          <t>Animation</t>
        </is>
      </c>
    </row>
    <row r="53">
      <c r="A53" t="inlineStr">
        <is>
          <t>PrimaryLane</t>
        </is>
      </c>
      <c r="B53" t="inlineStr">
        <is>
          <t>Musical</t>
        </is>
      </c>
    </row>
    <row r="54">
      <c r="A54" t="inlineStr">
        <is>
          <t>PrimaryLane</t>
        </is>
      </c>
      <c r="B54" t="inlineStr">
        <is>
          <t>War/Military</t>
        </is>
      </c>
    </row>
    <row r="55">
      <c r="A55" t="inlineStr">
        <is>
          <t>PrimaryLane</t>
        </is>
      </c>
      <c r="B55" t="inlineStr">
        <is>
          <t>Biopic</t>
        </is>
      </c>
    </row>
    <row r="56">
      <c r="A56" t="inlineStr">
        <is>
          <t>PrimaryLane</t>
        </is>
      </c>
      <c r="B56" t="inlineStr">
        <is>
          <t>Documentary</t>
        </is>
      </c>
    </row>
    <row r="57">
      <c r="A57" t="inlineStr">
        <is>
          <t>BudgetBand</t>
        </is>
      </c>
      <c r="B57" t="inlineStr">
        <is>
          <t>Micro (&lt;$2M)</t>
        </is>
      </c>
    </row>
    <row r="58">
      <c r="A58" t="inlineStr">
        <is>
          <t>BudgetBand</t>
        </is>
      </c>
      <c r="B58" t="inlineStr">
        <is>
          <t>Low ($2–5M)</t>
        </is>
      </c>
    </row>
    <row r="59">
      <c r="A59" t="inlineStr">
        <is>
          <t>BudgetBand</t>
        </is>
      </c>
      <c r="B59" t="inlineStr">
        <is>
          <t>Low-Mid ($5–10M)</t>
        </is>
      </c>
    </row>
    <row r="60">
      <c r="A60" t="inlineStr">
        <is>
          <t>BudgetBand</t>
        </is>
      </c>
      <c r="B60" t="inlineStr">
        <is>
          <t>Mid ($10–20M)</t>
        </is>
      </c>
    </row>
    <row r="61">
      <c r="A61" t="inlineStr">
        <is>
          <t>BudgetBand</t>
        </is>
      </c>
      <c r="B61" t="inlineStr">
        <is>
          <t>Mid-High ($20–40M)</t>
        </is>
      </c>
    </row>
    <row r="62">
      <c r="A62" t="inlineStr">
        <is>
          <t>BudgetBand</t>
        </is>
      </c>
      <c r="B62" t="inlineStr">
        <is>
          <t>Studio ($40–75M)</t>
        </is>
      </c>
    </row>
    <row r="63">
      <c r="A63" t="inlineStr">
        <is>
          <t>BudgetBand</t>
        </is>
      </c>
      <c r="B63" t="inlineStr">
        <is>
          <t>Event ($75–120M)</t>
        </is>
      </c>
    </row>
    <row r="64">
      <c r="A64" t="inlineStr">
        <is>
          <t>BudgetBand</t>
        </is>
      </c>
      <c r="B64" t="inlineStr">
        <is>
          <t>Tentpole ($120M+)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0" customWidth="1" min="4" max="4"/>
  </cols>
  <sheetData>
    <row r="1">
      <c r="A1" s="15" t="inlineStr">
        <is>
          <t>Band</t>
        </is>
      </c>
      <c r="B1" s="15" t="inlineStr">
        <is>
          <t>MinBudgetUSD</t>
        </is>
      </c>
      <c r="C1" s="15" t="inlineStr">
        <is>
          <t>MaxBudgetUSD</t>
        </is>
      </c>
      <c r="D1" s="15" t="inlineStr">
        <is>
          <t>Notes</t>
        </is>
      </c>
    </row>
    <row r="2">
      <c r="A2" t="inlineStr">
        <is>
          <t>Micro (&lt;$2M)</t>
        </is>
      </c>
      <c r="B2" t="n">
        <v>0</v>
      </c>
      <c r="C2" t="n">
        <v>1999999</v>
      </c>
      <c r="D2" t="inlineStr">
        <is>
          <t>Micro budgets / first features</t>
        </is>
      </c>
    </row>
    <row r="3">
      <c r="A3" t="inlineStr">
        <is>
          <t>Low ($2–5M)</t>
        </is>
      </c>
      <c r="B3" t="n">
        <v>2000000</v>
      </c>
      <c r="C3" t="n">
        <v>5000000</v>
      </c>
      <c r="D3" t="inlineStr">
        <is>
          <t>Contained genre, limited locations</t>
        </is>
      </c>
    </row>
    <row r="4">
      <c r="A4" t="inlineStr">
        <is>
          <t>Low-Mid ($5–10M)</t>
        </is>
      </c>
      <c r="B4" t="n">
        <v>5000001</v>
      </c>
      <c r="C4" t="n">
        <v>10000000</v>
      </c>
      <c r="D4" t="inlineStr">
        <is>
          <t>Cast + production value step-up</t>
        </is>
      </c>
    </row>
    <row r="5">
      <c r="A5" t="inlineStr">
        <is>
          <t>Mid ($10–20M)</t>
        </is>
      </c>
      <c r="B5" t="n">
        <v>10000001</v>
      </c>
      <c r="C5" t="n">
        <v>20000000</v>
      </c>
      <c r="D5" t="inlineStr">
        <is>
          <t>Name cast possible; meaningful scope</t>
        </is>
      </c>
    </row>
    <row r="6">
      <c r="A6" t="inlineStr">
        <is>
          <t>Mid-High ($20–40M)</t>
        </is>
      </c>
      <c r="B6" t="n">
        <v>20000001</v>
      </c>
      <c r="C6" t="n">
        <v>40000000</v>
      </c>
      <c r="D6" t="inlineStr">
        <is>
          <t>Studio-adjacent; bigger action/VFX</t>
        </is>
      </c>
    </row>
    <row r="7">
      <c r="A7" t="inlineStr">
        <is>
          <t>Studio ($40–75M)</t>
        </is>
      </c>
      <c r="B7" t="n">
        <v>40000001</v>
      </c>
      <c r="C7" t="n">
        <v>75000000</v>
      </c>
      <c r="D7" t="inlineStr">
        <is>
          <t>Mainstream studio features</t>
        </is>
      </c>
    </row>
    <row r="8">
      <c r="A8" t="inlineStr">
        <is>
          <t>Event ($75–120M)</t>
        </is>
      </c>
      <c r="B8" t="n">
        <v>75000001</v>
      </c>
      <c r="C8" t="n">
        <v>120000000</v>
      </c>
      <c r="D8" t="inlineStr">
        <is>
          <t>Franchise / large-scale</t>
        </is>
      </c>
    </row>
    <row r="9">
      <c r="A9" t="inlineStr">
        <is>
          <t>Tentpole ($120M+)</t>
        </is>
      </c>
      <c r="B9" t="n">
        <v>120000001</v>
      </c>
      <c r="C9" t="n">
        <v>999999999</v>
      </c>
      <c r="D9" t="inlineStr">
        <is>
          <t>Major tentpoles / global event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4" max="4"/>
    <col width="10" customWidth="1" min="5" max="5"/>
  </cols>
  <sheetData>
    <row r="1">
      <c r="A1" s="1" t="inlineStr">
        <is>
          <t>Dashboard (auto)</t>
        </is>
      </c>
    </row>
    <row r="3">
      <c r="A3" s="2" t="inlineStr">
        <is>
          <t>Counts by Tier</t>
        </is>
      </c>
      <c r="D3" s="2" t="inlineStr">
        <is>
          <t>Counts by PrimaryLane (text match)</t>
        </is>
      </c>
    </row>
    <row r="4" ht="28" customHeight="1">
      <c r="A4" s="4" t="inlineStr">
        <is>
          <t>Tier</t>
        </is>
      </c>
      <c r="B4" s="4" t="inlineStr">
        <is>
          <t>Count</t>
        </is>
      </c>
      <c r="D4" s="8" t="inlineStr">
        <is>
          <t>Lane</t>
        </is>
      </c>
      <c r="E4" s="8" t="inlineStr">
        <is>
          <t>Count</t>
        </is>
      </c>
    </row>
    <row r="5">
      <c r="A5" s="9" t="inlineStr">
        <is>
          <t>T0</t>
        </is>
      </c>
      <c r="B5" s="9">
        <f>COUNTIF(DIRECTORS!$B$2:$B$5000,"T0")</f>
        <v/>
      </c>
      <c r="D5" s="9" t="inlineStr">
        <is>
          <t>Action</t>
        </is>
      </c>
      <c r="E5" s="9">
        <f>COUNTIF(DIRECTORS!$D$2:$D$5000,"*Action*")</f>
        <v/>
      </c>
    </row>
    <row r="6">
      <c r="A6" s="9" t="inlineStr">
        <is>
          <t>T1</t>
        </is>
      </c>
      <c r="B6" s="9">
        <f>COUNTIF(DIRECTORS!$B$2:$B$5000,"T1")</f>
        <v/>
      </c>
      <c r="D6" s="9" t="inlineStr">
        <is>
          <t>Action-comedy</t>
        </is>
      </c>
      <c r="E6" s="9">
        <f>COUNTIF(DIRECTORS!$D$2:$D$5000,"*Action-comedy*")</f>
        <v/>
      </c>
    </row>
    <row r="7">
      <c r="A7" s="9" t="inlineStr">
        <is>
          <t>T2</t>
        </is>
      </c>
      <c r="B7" s="9">
        <f>COUNTIF(DIRECTORS!$B$2:$B$5000,"T2")</f>
        <v/>
      </c>
      <c r="D7" s="9" t="inlineStr">
        <is>
          <t>Horror</t>
        </is>
      </c>
      <c r="E7" s="9">
        <f>COUNTIF(DIRECTORS!$D$2:$D$5000,"*Horror*")</f>
        <v/>
      </c>
    </row>
    <row r="8">
      <c r="A8" s="9" t="inlineStr">
        <is>
          <t>T3</t>
        </is>
      </c>
      <c r="B8" s="9">
        <f>COUNTIF(DIRECTORS!$B$2:$B$5000,"T3")</f>
        <v/>
      </c>
      <c r="D8" s="9" t="inlineStr">
        <is>
          <t>Thriller/Mystery</t>
        </is>
      </c>
      <c r="E8" s="9">
        <f>COUNTIF(DIRECTORS!$D$2:$D$5000,"*Thriller/Mystery*")</f>
        <v/>
      </c>
    </row>
    <row r="9">
      <c r="D9" s="9" t="inlineStr">
        <is>
          <t>Sci-fi</t>
        </is>
      </c>
      <c r="E9" s="9">
        <f>COUNTIF(DIRECTORS!$D$2:$D$5000,"*Sci-fi*")</f>
        <v/>
      </c>
    </row>
    <row r="10">
      <c r="D10" s="9" t="inlineStr">
        <is>
          <t>Prestige drama</t>
        </is>
      </c>
      <c r="E10" s="9">
        <f>COUNTIF(DIRECTORS!$D$2:$D$5000,"*Prestige drama*")</f>
        <v/>
      </c>
    </row>
    <row r="11">
      <c r="D11" s="9" t="inlineStr">
        <is>
          <t>Historical/Epic</t>
        </is>
      </c>
      <c r="E11" s="9">
        <f>COUNTIF(DIRECTORS!$D$2:$D$5000,"*Historical/Epic*")</f>
        <v/>
      </c>
    </row>
    <row r="12">
      <c r="D12" s="9" t="inlineStr">
        <is>
          <t>Family</t>
        </is>
      </c>
      <c r="E12" s="9">
        <f>COUNTIF(DIRECTORS!$D$2:$D$5000,"*Family*")</f>
        <v/>
      </c>
    </row>
    <row r="13">
      <c r="D13" s="9" t="inlineStr">
        <is>
          <t>Fantasy</t>
        </is>
      </c>
      <c r="E13" s="9">
        <f>COUNTIF(DIRECTORS!$D$2:$D$5000,"*Fantasy*")</f>
        <v/>
      </c>
    </row>
    <row r="16">
      <c r="A16" s="2" t="inlineStr">
        <is>
          <t>Counts by Tier (UNIVERSE)</t>
        </is>
      </c>
      <c r="D16" s="2" t="inlineStr">
        <is>
          <t>Counts by PrimaryLane (UNIVERSE)</t>
        </is>
      </c>
    </row>
    <row r="17">
      <c r="A17" s="4" t="inlineStr">
        <is>
          <t>Tier</t>
        </is>
      </c>
      <c r="B17" s="4" t="inlineStr">
        <is>
          <t>Count</t>
        </is>
      </c>
      <c r="D17" s="8" t="inlineStr">
        <is>
          <t>Lane</t>
        </is>
      </c>
      <c r="E17" s="8" t="inlineStr">
        <is>
          <t>Count</t>
        </is>
      </c>
    </row>
    <row r="18">
      <c r="A18" s="9" t="inlineStr">
        <is>
          <t>T0</t>
        </is>
      </c>
      <c r="B18" s="9">
        <f>COUNTIF(UNIVERSE!$B$2:$B$5000,"T0")</f>
        <v/>
      </c>
      <c r="D18" s="9" t="inlineStr">
        <is>
          <t>Action</t>
        </is>
      </c>
      <c r="E18" s="9">
        <f>COUNTIF(UNIVERSE!$E$2:$E$5000,"*Action*")</f>
        <v/>
      </c>
    </row>
    <row r="19">
      <c r="A19" s="9" t="inlineStr">
        <is>
          <t>T1</t>
        </is>
      </c>
      <c r="B19" s="9">
        <f>COUNTIF(UNIVERSE!$B$2:$B$5000,"T1")</f>
        <v/>
      </c>
      <c r="D19" s="9" t="inlineStr">
        <is>
          <t>Action-comedy</t>
        </is>
      </c>
      <c r="E19" s="9">
        <f>COUNTIF(UNIVERSE!$E$2:$E$5000,"*Action-comedy*")</f>
        <v/>
      </c>
    </row>
    <row r="20">
      <c r="A20" s="9" t="inlineStr">
        <is>
          <t>T2</t>
        </is>
      </c>
      <c r="B20" s="9">
        <f>COUNTIF(UNIVERSE!$B$2:$B$5000,"T2")</f>
        <v/>
      </c>
      <c r="D20" s="9" t="inlineStr">
        <is>
          <t>Comedy</t>
        </is>
      </c>
      <c r="E20" s="9">
        <f>COUNTIF(UNIVERSE!$E$2:$E$5000,"*Comedy*")</f>
        <v/>
      </c>
    </row>
    <row r="21">
      <c r="A21" s="9" t="inlineStr">
        <is>
          <t>T3</t>
        </is>
      </c>
      <c r="B21" s="9">
        <f>COUNTIF(UNIVERSE!$B$2:$B$5000,"T3")</f>
        <v/>
      </c>
      <c r="D21" s="9" t="inlineStr">
        <is>
          <t>Drama</t>
        </is>
      </c>
      <c r="E21" s="9">
        <f>COUNTIF(UNIVERSE!$E$2:$E$5000,"*Drama*")</f>
        <v/>
      </c>
    </row>
    <row r="22">
      <c r="A22" s="9" t="inlineStr">
        <is>
          <t>T4</t>
        </is>
      </c>
      <c r="B22" s="9">
        <f>COUNTIF(UNIVERSE!$B$2:$B$5000,"T4")</f>
        <v/>
      </c>
      <c r="D22" s="9" t="inlineStr">
        <is>
          <t>Prestige drama</t>
        </is>
      </c>
      <c r="E22" s="9">
        <f>COUNTIF(UNIVERSE!$E$2:$E$5000,"*Prestige drama*")</f>
        <v/>
      </c>
    </row>
    <row r="23">
      <c r="A23" s="9" t="inlineStr">
        <is>
          <t>T5</t>
        </is>
      </c>
      <c r="B23" s="9">
        <f>COUNTIF(UNIVERSE!$B$2:$B$5000,"T5")</f>
        <v/>
      </c>
      <c r="D23" s="9" t="inlineStr">
        <is>
          <t>Thriller/Mystery</t>
        </is>
      </c>
      <c r="E23" s="9">
        <f>COUNTIF(UNIVERSE!$E$2:$E$5000,"*Thriller/Mystery*")</f>
        <v/>
      </c>
    </row>
    <row r="24">
      <c r="D24" s="9" t="inlineStr">
        <is>
          <t>Crime/Heist</t>
        </is>
      </c>
      <c r="E24" s="9">
        <f>COUNTIF(UNIVERSE!$E$2:$E$5000,"*Crime/Heist*")</f>
        <v/>
      </c>
    </row>
    <row r="25">
      <c r="D25" s="9" t="inlineStr">
        <is>
          <t>Horror</t>
        </is>
      </c>
      <c r="E25" s="9">
        <f>COUNTIF(UNIVERSE!$E$2:$E$5000,"*Horror*")</f>
        <v/>
      </c>
    </row>
    <row r="26">
      <c r="D26" s="9" t="inlineStr">
        <is>
          <t>Sci-fi</t>
        </is>
      </c>
      <c r="E26" s="9">
        <f>COUNTIF(UNIVERSE!$E$2:$E$5000,"*Sci-fi*")</f>
        <v/>
      </c>
    </row>
    <row r="27">
      <c r="D27" s="9" t="inlineStr">
        <is>
          <t>Fantasy</t>
        </is>
      </c>
      <c r="E27" s="9">
        <f>COUNTIF(UNIVERSE!$E$2:$E$5000,"*Fantasy*")</f>
        <v/>
      </c>
    </row>
    <row r="28">
      <c r="D28" s="9" t="inlineStr">
        <is>
          <t>Family</t>
        </is>
      </c>
      <c r="E28" s="9">
        <f>COUNTIF(UNIVERSE!$E$2:$E$5000,"*Family*")</f>
        <v/>
      </c>
    </row>
    <row r="29">
      <c r="D29" s="9" t="inlineStr">
        <is>
          <t>Animation</t>
        </is>
      </c>
      <c r="E29" s="9">
        <f>COUNTIF(UNIVERSE!$E$2:$E$5000,"*Animation*")</f>
        <v/>
      </c>
    </row>
    <row r="30">
      <c r="D30" s="9" t="inlineStr">
        <is>
          <t>Musical</t>
        </is>
      </c>
      <c r="E30" s="9">
        <f>COUNTIF(UNIVERSE!$E$2:$E$5000,"*Musical*")</f>
        <v/>
      </c>
    </row>
    <row r="31">
      <c r="D31" s="9" t="inlineStr">
        <is>
          <t>Historical/Epic</t>
        </is>
      </c>
      <c r="E31" s="9">
        <f>COUNTIF(UNIVERSE!$E$2:$E$5000,"*Historical/Epic*")</f>
        <v/>
      </c>
    </row>
    <row r="32">
      <c r="D32" s="9" t="inlineStr">
        <is>
          <t>War/Military</t>
        </is>
      </c>
      <c r="E32" s="9">
        <f>COUNTIF(UNIVERSE!$E$2:$E$5000,"*War/Military*")</f>
        <v/>
      </c>
    </row>
    <row r="33">
      <c r="D33" s="9" t="inlineStr">
        <is>
          <t>Romantic comedy</t>
        </is>
      </c>
      <c r="E33" s="9">
        <f>COUNTIF(UNIVERSE!$E$2:$E$5000,"*Romantic comedy*")</f>
        <v/>
      </c>
    </row>
    <row r="34">
      <c r="D34" s="9" t="inlineStr">
        <is>
          <t>Biopic</t>
        </is>
      </c>
      <c r="E34" s="9">
        <f>COUNTIF(UNIVERSE!$E$2:$E$5000,"*Biopic*")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cols>
    <col width="20.89999961853027" customWidth="1" min="1" max="1"/>
    <col width="38" customWidth="1" min="2" max="2"/>
    <col width="22.70000076293945" customWidth="1" min="3" max="3"/>
    <col width="45" customWidth="1" min="4" max="4"/>
  </cols>
  <sheetData>
    <row r="1" ht="28" customHeight="1">
      <c r="A1" s="4" t="inlineStr">
        <is>
          <t>Director</t>
        </is>
      </c>
      <c r="B1" s="4" t="inlineStr">
        <is>
          <t>Actor</t>
        </is>
      </c>
      <c r="C1" s="4" t="inlineStr">
        <is>
          <t>Type</t>
        </is>
      </c>
      <c r="D1" s="4" t="inlineStr">
        <is>
          <t>Source (Director row)</t>
        </is>
      </c>
    </row>
    <row r="2">
      <c r="A2" s="5" t="inlineStr">
        <is>
          <t>Christopher Nolan</t>
        </is>
      </c>
      <c r="B2" s="5" t="inlineStr">
        <is>
          <t>Cillian Murphy</t>
        </is>
      </c>
      <c r="C2" s="5" t="inlineStr">
        <is>
          <t>Recent cast/attachments</t>
        </is>
      </c>
      <c r="D2" s="5" t="inlineStr">
        <is>
          <t>https://en.wikipedia.org/wiki/Oppenheimer_(film)</t>
        </is>
      </c>
    </row>
    <row r="3">
      <c r="A3" s="5" t="inlineStr">
        <is>
          <t>Christopher Nolan</t>
        </is>
      </c>
      <c r="B3" s="5" t="inlineStr">
        <is>
          <t>Matt Damon</t>
        </is>
      </c>
      <c r="C3" s="5" t="inlineStr">
        <is>
          <t>Recent cast/attachments</t>
        </is>
      </c>
      <c r="D3" s="5" t="inlineStr">
        <is>
          <t>https://en.wikipedia.org/wiki/Oppenheimer_(film)</t>
        </is>
      </c>
    </row>
    <row r="4">
      <c r="A4" s="5" t="inlineStr">
        <is>
          <t>Christopher Nolan</t>
        </is>
      </c>
      <c r="B4" s="5" t="inlineStr">
        <is>
          <t>Emily Blunt</t>
        </is>
      </c>
      <c r="C4" s="5" t="inlineStr">
        <is>
          <t>Recent cast/attachments</t>
        </is>
      </c>
      <c r="D4" s="5" t="inlineStr">
        <is>
          <t>https://en.wikipedia.org/wiki/Oppenheimer_(film)</t>
        </is>
      </c>
    </row>
    <row r="5">
      <c r="A5" s="5" t="inlineStr">
        <is>
          <t>Christopher Nolan</t>
        </is>
      </c>
      <c r="B5" s="5" t="inlineStr">
        <is>
          <t>Robert Downey Jr.</t>
        </is>
      </c>
      <c r="C5" s="5" t="inlineStr">
        <is>
          <t>Recent cast/attachments</t>
        </is>
      </c>
      <c r="D5" s="5" t="inlineStr">
        <is>
          <t>https://en.wikipedia.org/wiki/Oppenheimer_(film)</t>
        </is>
      </c>
    </row>
    <row r="6">
      <c r="A6" s="5" t="inlineStr">
        <is>
          <t>Christopher Nolan</t>
        </is>
      </c>
      <c r="B6" s="5" t="inlineStr">
        <is>
          <t>Florence Pugh</t>
        </is>
      </c>
      <c r="C6" s="5" t="inlineStr">
        <is>
          <t>Recent cast/attachments</t>
        </is>
      </c>
      <c r="D6" s="5" t="inlineStr">
        <is>
          <t>https://en.wikipedia.org/wiki/Oppenheimer_(film)</t>
        </is>
      </c>
    </row>
    <row r="7">
      <c r="A7" s="5" t="inlineStr">
        <is>
          <t>Denis Villeneuve</t>
        </is>
      </c>
      <c r="B7" s="5" t="inlineStr">
        <is>
          <t>Timothée Chalamet</t>
        </is>
      </c>
      <c r="C7" s="5" t="inlineStr">
        <is>
          <t>Recent cast/attachments</t>
        </is>
      </c>
      <c r="D7" s="5" t="inlineStr">
        <is>
          <t>https://en.wikipedia.org/wiki/Dune:_Part_Two</t>
        </is>
      </c>
    </row>
    <row r="8">
      <c r="A8" s="5" t="inlineStr">
        <is>
          <t>Denis Villeneuve</t>
        </is>
      </c>
      <c r="B8" s="5" t="inlineStr">
        <is>
          <t>Zendaya</t>
        </is>
      </c>
      <c r="C8" s="5" t="inlineStr">
        <is>
          <t>Recent cast/attachments</t>
        </is>
      </c>
      <c r="D8" s="5" t="inlineStr">
        <is>
          <t>https://en.wikipedia.org/wiki/Dune:_Part_Two</t>
        </is>
      </c>
    </row>
    <row r="9">
      <c r="A9" s="5" t="inlineStr">
        <is>
          <t>Denis Villeneuve</t>
        </is>
      </c>
      <c r="B9" s="5" t="inlineStr">
        <is>
          <t>Rebecca Ferguson</t>
        </is>
      </c>
      <c r="C9" s="5" t="inlineStr">
        <is>
          <t>Recent cast/attachments</t>
        </is>
      </c>
      <c r="D9" s="5" t="inlineStr">
        <is>
          <t>https://en.wikipedia.org/wiki/Dune:_Part_Two</t>
        </is>
      </c>
    </row>
    <row r="10">
      <c r="A10" s="5" t="inlineStr">
        <is>
          <t>Denis Villeneuve</t>
        </is>
      </c>
      <c r="B10" s="5" t="inlineStr">
        <is>
          <t>Josh Brolin</t>
        </is>
      </c>
      <c r="C10" s="5" t="inlineStr">
        <is>
          <t>Recent cast/attachments</t>
        </is>
      </c>
      <c r="D10" s="5" t="inlineStr">
        <is>
          <t>https://en.wikipedia.org/wiki/Dune:_Part_Two</t>
        </is>
      </c>
    </row>
    <row r="11">
      <c r="A11" s="5" t="inlineStr">
        <is>
          <t>Denis Villeneuve</t>
        </is>
      </c>
      <c r="B11" s="5" t="inlineStr">
        <is>
          <t>Javier Bardem</t>
        </is>
      </c>
      <c r="C11" s="5" t="inlineStr">
        <is>
          <t>Recent cast/attachments</t>
        </is>
      </c>
      <c r="D11" s="5" t="inlineStr">
        <is>
          <t>https://en.wikipedia.org/wiki/Dune:_Part_Two</t>
        </is>
      </c>
    </row>
    <row r="12">
      <c r="A12" s="5" t="inlineStr">
        <is>
          <t>Greta Gerwig</t>
        </is>
      </c>
      <c r="B12" s="5" t="inlineStr">
        <is>
          <t>Margot Robbie</t>
        </is>
      </c>
      <c r="C12" s="5" t="inlineStr">
        <is>
          <t>Recent cast/attachments</t>
        </is>
      </c>
      <c r="D12" s="5" t="inlineStr">
        <is>
          <t>https://en.wikipedia.org/wiki/Barbie_(film)</t>
        </is>
      </c>
    </row>
    <row r="13">
      <c r="A13" s="5" t="inlineStr">
        <is>
          <t>Greta Gerwig</t>
        </is>
      </c>
      <c r="B13" s="5" t="inlineStr">
        <is>
          <t>Ryan Gosling</t>
        </is>
      </c>
      <c r="C13" s="5" t="inlineStr">
        <is>
          <t>Recent cast/attachments</t>
        </is>
      </c>
      <c r="D13" s="5" t="inlineStr">
        <is>
          <t>https://en.wikipedia.org/wiki/Barbie_(film)</t>
        </is>
      </c>
    </row>
    <row r="14">
      <c r="A14" s="5" t="inlineStr">
        <is>
          <t>Greta Gerwig</t>
        </is>
      </c>
      <c r="B14" s="5" t="inlineStr">
        <is>
          <t>America Ferrera</t>
        </is>
      </c>
      <c r="C14" s="5" t="inlineStr">
        <is>
          <t>Recent cast/attachments</t>
        </is>
      </c>
      <c r="D14" s="5" t="inlineStr">
        <is>
          <t>https://en.wikipedia.org/wiki/Barbie_(film)</t>
        </is>
      </c>
    </row>
    <row r="15">
      <c r="A15" s="5" t="inlineStr">
        <is>
          <t>Greta Gerwig</t>
        </is>
      </c>
      <c r="B15" s="5" t="inlineStr">
        <is>
          <t>Emma Mackey</t>
        </is>
      </c>
      <c r="C15" s="5" t="inlineStr">
        <is>
          <t>Recent cast/attachments</t>
        </is>
      </c>
      <c r="D15" s="5" t="inlineStr">
        <is>
          <t>https://en.wikipedia.org/wiki/Barbie_(film)</t>
        </is>
      </c>
    </row>
    <row r="16">
      <c r="A16" s="5" t="inlineStr">
        <is>
          <t>Greta Gerwig</t>
        </is>
      </c>
      <c r="B16" s="5" t="inlineStr">
        <is>
          <t>Daniel Craig</t>
        </is>
      </c>
      <c r="C16" s="5" t="inlineStr">
        <is>
          <t>Recent cast/attachments</t>
        </is>
      </c>
      <c r="D16" s="5" t="inlineStr">
        <is>
          <t>https://en.wikipedia.org/wiki/Barbie_(film)</t>
        </is>
      </c>
    </row>
    <row r="17">
      <c r="A17" s="5" t="inlineStr">
        <is>
          <t>Ryan Coogler</t>
        </is>
      </c>
      <c r="B17" s="5" t="inlineStr">
        <is>
          <t>Michael B. Jordan</t>
        </is>
      </c>
      <c r="C17" s="5" t="inlineStr">
        <is>
          <t>Recent cast/attachments</t>
        </is>
      </c>
      <c r="D17" s="5" t="inlineStr">
        <is>
          <t>https://en.wikipedia.org/wiki/Sinners_(2025_film)</t>
        </is>
      </c>
    </row>
    <row r="18">
      <c r="A18" s="5" t="inlineStr">
        <is>
          <t>Ryan Coogler</t>
        </is>
      </c>
      <c r="B18" s="5" t="inlineStr">
        <is>
          <t>Hailee Steinfeld</t>
        </is>
      </c>
      <c r="C18" s="5" t="inlineStr">
        <is>
          <t>Recent cast/attachments</t>
        </is>
      </c>
      <c r="D18" s="5" t="inlineStr">
        <is>
          <t>https://en.wikipedia.org/wiki/Sinners_(2025_film)</t>
        </is>
      </c>
    </row>
    <row r="19">
      <c r="A19" s="5" t="inlineStr">
        <is>
          <t>Ryan Coogler</t>
        </is>
      </c>
      <c r="B19" s="5" t="inlineStr">
        <is>
          <t>Delroy Lindo</t>
        </is>
      </c>
      <c r="C19" s="5" t="inlineStr">
        <is>
          <t>Recent cast/attachments</t>
        </is>
      </c>
      <c r="D19" s="5" t="inlineStr">
        <is>
          <t>https://en.wikipedia.org/wiki/Sinners_(2025_film)</t>
        </is>
      </c>
    </row>
    <row r="20">
      <c r="A20" s="5" t="inlineStr">
        <is>
          <t>Ryan Coogler</t>
        </is>
      </c>
      <c r="B20" s="5" t="inlineStr">
        <is>
          <t>Letitia Wright</t>
        </is>
      </c>
      <c r="C20" s="5" t="inlineStr">
        <is>
          <t>Recent cast/attachments</t>
        </is>
      </c>
      <c r="D20" s="5" t="inlineStr">
        <is>
          <t>https://en.wikipedia.org/wiki/Sinners_(2025_film)</t>
        </is>
      </c>
    </row>
    <row r="21">
      <c r="A21" s="5" t="inlineStr">
        <is>
          <t>James Gunn</t>
        </is>
      </c>
      <c r="B21" s="5" t="inlineStr">
        <is>
          <t>David Corenswet</t>
        </is>
      </c>
      <c r="C21" s="5" t="inlineStr">
        <is>
          <t>Recent cast/attachments</t>
        </is>
      </c>
      <c r="D21" s="5" t="inlineStr">
        <is>
          <t>https://en.wikipedia.org/wiki/Superman_(2025_film)</t>
        </is>
      </c>
    </row>
    <row r="22">
      <c r="A22" s="5" t="inlineStr">
        <is>
          <t>James Gunn</t>
        </is>
      </c>
      <c r="B22" s="5" t="inlineStr">
        <is>
          <t>Rachel Brosnahan</t>
        </is>
      </c>
      <c r="C22" s="5" t="inlineStr">
        <is>
          <t>Recent cast/attachments</t>
        </is>
      </c>
      <c r="D22" s="5" t="inlineStr">
        <is>
          <t>https://en.wikipedia.org/wiki/Superman_(2025_film)</t>
        </is>
      </c>
    </row>
    <row r="23">
      <c r="A23" s="5" t="inlineStr">
        <is>
          <t>James Gunn</t>
        </is>
      </c>
      <c r="B23" s="5" t="inlineStr">
        <is>
          <t>Nicholas Hoult</t>
        </is>
      </c>
      <c r="C23" s="5" t="inlineStr">
        <is>
          <t>Recent cast/attachments</t>
        </is>
      </c>
      <c r="D23" s="5" t="inlineStr">
        <is>
          <t>https://en.wikipedia.org/wiki/Superman_(2025_film)</t>
        </is>
      </c>
    </row>
    <row r="24">
      <c r="A24" s="5" t="inlineStr">
        <is>
          <t>James Gunn</t>
        </is>
      </c>
      <c r="B24" s="5" t="inlineStr">
        <is>
          <t>Jason Momoa (DCU)</t>
        </is>
      </c>
      <c r="C24" s="5" t="inlineStr">
        <is>
          <t>Recent cast/attachments</t>
        </is>
      </c>
      <c r="D24" s="5" t="inlineStr">
        <is>
          <t>https://en.wikipedia.org/wiki/Superman_(2025_film)</t>
        </is>
      </c>
    </row>
    <row r="25">
      <c r="A25" s="5" t="inlineStr">
        <is>
          <t>Matt Reeves</t>
        </is>
      </c>
      <c r="B25" s="5" t="inlineStr">
        <is>
          <t>Robert Pattinson</t>
        </is>
      </c>
      <c r="C25" s="5" t="inlineStr">
        <is>
          <t>Recent cast/attachments</t>
        </is>
      </c>
      <c r="D25" s="5" t="inlineStr">
        <is>
          <t>https://en.wikipedia.org/wiki/The_Batman_(film)</t>
        </is>
      </c>
    </row>
    <row r="26">
      <c r="A26" s="5" t="inlineStr">
        <is>
          <t>Matt Reeves</t>
        </is>
      </c>
      <c r="B26" s="5" t="inlineStr">
        <is>
          <t>Zoë Kravitz</t>
        </is>
      </c>
      <c r="C26" s="5" t="inlineStr">
        <is>
          <t>Recent cast/attachments</t>
        </is>
      </c>
      <c r="D26" s="5" t="inlineStr">
        <is>
          <t>https://en.wikipedia.org/wiki/The_Batman_(film)</t>
        </is>
      </c>
    </row>
    <row r="27">
      <c r="A27" s="5" t="inlineStr">
        <is>
          <t>Matt Reeves</t>
        </is>
      </c>
      <c r="B27" s="5" t="inlineStr">
        <is>
          <t>Paul Dano</t>
        </is>
      </c>
      <c r="C27" s="5" t="inlineStr">
        <is>
          <t>Recent cast/attachments</t>
        </is>
      </c>
      <c r="D27" s="5" t="inlineStr">
        <is>
          <t>https://en.wikipedia.org/wiki/The_Batman_(film)</t>
        </is>
      </c>
    </row>
    <row r="28">
      <c r="A28" s="5" t="inlineStr">
        <is>
          <t>Matt Reeves</t>
        </is>
      </c>
      <c r="B28" s="5" t="inlineStr">
        <is>
          <t>Colin Farrell</t>
        </is>
      </c>
      <c r="C28" s="5" t="inlineStr">
        <is>
          <t>Recent cast/attachments</t>
        </is>
      </c>
      <c r="D28" s="5" t="inlineStr">
        <is>
          <t>https://en.wikipedia.org/wiki/The_Batman_(film)</t>
        </is>
      </c>
    </row>
    <row r="29">
      <c r="A29" s="5" t="inlineStr">
        <is>
          <t>Christopher McQuarrie</t>
        </is>
      </c>
      <c r="B29" s="5" t="inlineStr">
        <is>
          <t>Tom Cruise</t>
        </is>
      </c>
      <c r="C29" s="5" t="inlineStr">
        <is>
          <t>Recent cast/attachments</t>
        </is>
      </c>
      <c r="D29" s="5" t="inlineStr">
        <is>
          <t>https://en.wikipedia.org/wiki/Mission:_Impossible_%E2%80%93_The_Final_Reckoning</t>
        </is>
      </c>
    </row>
    <row r="30">
      <c r="A30" s="5" t="inlineStr">
        <is>
          <t>Christopher McQuarrie</t>
        </is>
      </c>
      <c r="B30" s="5" t="inlineStr">
        <is>
          <t>Hayley Atwell</t>
        </is>
      </c>
      <c r="C30" s="5" t="inlineStr">
        <is>
          <t>Recent cast/attachments</t>
        </is>
      </c>
      <c r="D30" s="5" t="inlineStr">
        <is>
          <t>https://en.wikipedia.org/wiki/Mission:_Impossible_%E2%80%93_The_Final_Reckoning</t>
        </is>
      </c>
    </row>
    <row r="31">
      <c r="A31" s="5" t="inlineStr">
        <is>
          <t>Christopher McQuarrie</t>
        </is>
      </c>
      <c r="B31" s="5" t="inlineStr">
        <is>
          <t>Simon Pegg</t>
        </is>
      </c>
      <c r="C31" s="5" t="inlineStr">
        <is>
          <t>Recent cast/attachments</t>
        </is>
      </c>
      <c r="D31" s="5" t="inlineStr">
        <is>
          <t>https://en.wikipedia.org/wiki/Mission:_Impossible_%E2%80%93_The_Final_Reckoning</t>
        </is>
      </c>
    </row>
    <row r="32">
      <c r="A32" s="5" t="inlineStr">
        <is>
          <t>Christopher McQuarrie</t>
        </is>
      </c>
      <c r="B32" s="5" t="inlineStr">
        <is>
          <t>Ving Rhames</t>
        </is>
      </c>
      <c r="C32" s="5" t="inlineStr">
        <is>
          <t>Recent cast/attachments</t>
        </is>
      </c>
      <c r="D32" s="5" t="inlineStr">
        <is>
          <t>https://en.wikipedia.org/wiki/Mission:_Impossible_%E2%80%93_The_Final_Reckoning</t>
        </is>
      </c>
    </row>
    <row r="33">
      <c r="A33" s="5" t="inlineStr">
        <is>
          <t>Chad Stahelski</t>
        </is>
      </c>
      <c r="B33" s="5" t="inlineStr">
        <is>
          <t>Keanu Reeves</t>
        </is>
      </c>
      <c r="C33" s="5" t="inlineStr">
        <is>
          <t>Recent cast/attachments</t>
        </is>
      </c>
      <c r="D33" s="5" t="inlineStr">
        <is>
          <t>https://en.wikipedia.org/wiki/John_Wick:_Chapter_4</t>
        </is>
      </c>
    </row>
    <row r="34">
      <c r="A34" s="5" t="inlineStr">
        <is>
          <t>Chad Stahelski</t>
        </is>
      </c>
      <c r="B34" s="5" t="inlineStr">
        <is>
          <t>Bill Skarsgård</t>
        </is>
      </c>
      <c r="C34" s="5" t="inlineStr">
        <is>
          <t>Recent cast/attachments</t>
        </is>
      </c>
      <c r="D34" s="5" t="inlineStr">
        <is>
          <t>https://en.wikipedia.org/wiki/John_Wick:_Chapter_4</t>
        </is>
      </c>
    </row>
    <row r="35">
      <c r="A35" s="5" t="inlineStr">
        <is>
          <t>Chad Stahelski</t>
        </is>
      </c>
      <c r="B35" s="5" t="inlineStr">
        <is>
          <t>Donnie Yen</t>
        </is>
      </c>
      <c r="C35" s="5" t="inlineStr">
        <is>
          <t>Recent cast/attachments</t>
        </is>
      </c>
      <c r="D35" s="5" t="inlineStr">
        <is>
          <t>https://en.wikipedia.org/wiki/John_Wick:_Chapter_4</t>
        </is>
      </c>
    </row>
    <row r="36">
      <c r="A36" s="5" t="inlineStr">
        <is>
          <t>Chad Stahelski</t>
        </is>
      </c>
      <c r="B36" s="5" t="inlineStr">
        <is>
          <t>Henry Cavill (Highlander announced cast)</t>
        </is>
      </c>
      <c r="C36" s="5" t="inlineStr">
        <is>
          <t>Recent cast/attachments</t>
        </is>
      </c>
      <c r="D36" s="5" t="inlineStr">
        <is>
          <t>https://en.wikipedia.org/wiki/John_Wick:_Chapter_4</t>
        </is>
      </c>
    </row>
    <row r="37">
      <c r="A37" s="5" t="inlineStr">
        <is>
          <t>David Leitch</t>
        </is>
      </c>
      <c r="B37" s="5" t="inlineStr">
        <is>
          <t>Ryan Gosling</t>
        </is>
      </c>
      <c r="C37" s="5" t="inlineStr">
        <is>
          <t>Recent cast/attachments</t>
        </is>
      </c>
      <c r="D37" s="5" t="inlineStr">
        <is>
          <t>https://en.wikipedia.org/wiki/The_Fall_Guy_(2024_film)</t>
        </is>
      </c>
    </row>
    <row r="38">
      <c r="A38" s="5" t="inlineStr">
        <is>
          <t>David Leitch</t>
        </is>
      </c>
      <c r="B38" s="5" t="inlineStr">
        <is>
          <t>Emily Blunt</t>
        </is>
      </c>
      <c r="C38" s="5" t="inlineStr">
        <is>
          <t>Recent cast/attachments</t>
        </is>
      </c>
      <c r="D38" s="5" t="inlineStr">
        <is>
          <t>https://en.wikipedia.org/wiki/The_Fall_Guy_(2024_film)</t>
        </is>
      </c>
    </row>
    <row r="39">
      <c r="A39" s="5" t="inlineStr">
        <is>
          <t>David Leitch</t>
        </is>
      </c>
      <c r="B39" s="5" t="inlineStr">
        <is>
          <t>Brad Pitt (past)</t>
        </is>
      </c>
      <c r="C39" s="5" t="inlineStr">
        <is>
          <t>Recent cast/attachments</t>
        </is>
      </c>
      <c r="D39" s="5" t="inlineStr">
        <is>
          <t>https://en.wikipedia.org/wiki/The_Fall_Guy_(2024_film)</t>
        </is>
      </c>
    </row>
    <row r="40">
      <c r="A40" s="5" t="inlineStr">
        <is>
          <t>David Leitch</t>
        </is>
      </c>
      <c r="B40" s="5" t="inlineStr">
        <is>
          <t>Aaron Taylor-Johnson</t>
        </is>
      </c>
      <c r="C40" s="5" t="inlineStr">
        <is>
          <t>Recent cast/attachments</t>
        </is>
      </c>
      <c r="D40" s="5" t="inlineStr">
        <is>
          <t>https://en.wikipedia.org/wiki/The_Fall_Guy_(2024_film)</t>
        </is>
      </c>
    </row>
    <row r="41">
      <c r="A41" s="5" t="inlineStr">
        <is>
          <t>Joseph Kosinski</t>
        </is>
      </c>
      <c r="B41" s="5" t="inlineStr">
        <is>
          <t>Brad Pitt</t>
        </is>
      </c>
      <c r="C41" s="5" t="inlineStr">
        <is>
          <t>Recent cast/attachments</t>
        </is>
      </c>
      <c r="D41" s="5" t="inlineStr">
        <is>
          <t>https://en.wikipedia.org/wiki/F1_(film)</t>
        </is>
      </c>
    </row>
    <row r="42">
      <c r="A42" s="5" t="inlineStr">
        <is>
          <t>Joseph Kosinski</t>
        </is>
      </c>
      <c r="B42" s="5" t="inlineStr">
        <is>
          <t>Javier Bardem</t>
        </is>
      </c>
      <c r="C42" s="5" t="inlineStr">
        <is>
          <t>Recent cast/attachments</t>
        </is>
      </c>
      <c r="D42" s="5" t="inlineStr">
        <is>
          <t>https://en.wikipedia.org/wiki/F1_(film)</t>
        </is>
      </c>
    </row>
    <row r="43">
      <c r="A43" s="5" t="inlineStr">
        <is>
          <t>Joseph Kosinski</t>
        </is>
      </c>
      <c r="B43" s="5" t="inlineStr">
        <is>
          <t>Damson Idris</t>
        </is>
      </c>
      <c r="C43" s="5" t="inlineStr">
        <is>
          <t>Recent cast/attachments</t>
        </is>
      </c>
      <c r="D43" s="5" t="inlineStr">
        <is>
          <t>https://en.wikipedia.org/wiki/F1_(film)</t>
        </is>
      </c>
    </row>
    <row r="44">
      <c r="A44" s="5" t="inlineStr">
        <is>
          <t>Joseph Kosinski</t>
        </is>
      </c>
      <c r="B44" s="5" t="inlineStr">
        <is>
          <t>Kerry Condon</t>
        </is>
      </c>
      <c r="C44" s="5" t="inlineStr">
        <is>
          <t>Recent cast/attachments</t>
        </is>
      </c>
      <c r="D44" s="5" t="inlineStr">
        <is>
          <t>https://en.wikipedia.org/wiki/F1_(film)</t>
        </is>
      </c>
    </row>
    <row r="45">
      <c r="A45" s="5" t="inlineStr">
        <is>
          <t>Jordan Peele</t>
        </is>
      </c>
      <c r="B45" s="5" t="inlineStr">
        <is>
          <t>Daniel Kaluuya</t>
        </is>
      </c>
      <c r="C45" s="5" t="inlineStr">
        <is>
          <t>Recent cast/attachments</t>
        </is>
      </c>
      <c r="D45" s="5" t="inlineStr">
        <is>
          <t>https://en.wikipedia.org/wiki/Nope_(film)</t>
        </is>
      </c>
    </row>
    <row r="46">
      <c r="A46" s="5" t="inlineStr">
        <is>
          <t>Jordan Peele</t>
        </is>
      </c>
      <c r="B46" s="5" t="inlineStr">
        <is>
          <t>Keke Palmer</t>
        </is>
      </c>
      <c r="C46" s="5" t="inlineStr">
        <is>
          <t>Recent cast/attachments</t>
        </is>
      </c>
      <c r="D46" s="5" t="inlineStr">
        <is>
          <t>https://en.wikipedia.org/wiki/Nope_(film)</t>
        </is>
      </c>
    </row>
    <row r="47">
      <c r="A47" s="5" t="inlineStr">
        <is>
          <t>Jordan Peele</t>
        </is>
      </c>
      <c r="B47" s="5" t="inlineStr">
        <is>
          <t>Steven Yeun</t>
        </is>
      </c>
      <c r="C47" s="5" t="inlineStr">
        <is>
          <t>Recent cast/attachments</t>
        </is>
      </c>
      <c r="D47" s="5" t="inlineStr">
        <is>
          <t>https://en.wikipedia.org/wiki/Nope_(film)</t>
        </is>
      </c>
    </row>
    <row r="48">
      <c r="A48" s="5" t="inlineStr">
        <is>
          <t>James Wan</t>
        </is>
      </c>
      <c r="B48" s="5" t="inlineStr">
        <is>
          <t>Jason Momoa</t>
        </is>
      </c>
      <c r="C48" s="5" t="inlineStr">
        <is>
          <t>Recent cast/attachments</t>
        </is>
      </c>
      <c r="D48" s="5" t="inlineStr">
        <is>
          <t>https://en.wikipedia.org/wiki/Aquaman_and_the_Lost_Kingdom</t>
        </is>
      </c>
    </row>
    <row r="49">
      <c r="A49" s="5" t="inlineStr">
        <is>
          <t>James Wan</t>
        </is>
      </c>
      <c r="B49" s="5" t="inlineStr">
        <is>
          <t>Patrick Wilson</t>
        </is>
      </c>
      <c r="C49" s="5" t="inlineStr">
        <is>
          <t>Recent cast/attachments</t>
        </is>
      </c>
      <c r="D49" s="5" t="inlineStr">
        <is>
          <t>https://en.wikipedia.org/wiki/Aquaman_and_the_Lost_Kingdom</t>
        </is>
      </c>
    </row>
    <row r="50">
      <c r="A50" s="5" t="inlineStr">
        <is>
          <t>James Wan</t>
        </is>
      </c>
      <c r="B50" s="5" t="inlineStr">
        <is>
          <t>Yahya Abdul-Mateen II</t>
        </is>
      </c>
      <c r="C50" s="5" t="inlineStr">
        <is>
          <t>Recent cast/attachments</t>
        </is>
      </c>
      <c r="D50" s="5" t="inlineStr">
        <is>
          <t>https://en.wikipedia.org/wiki/Aquaman_and_the_Lost_Kingdom</t>
        </is>
      </c>
    </row>
    <row r="51">
      <c r="A51" s="5" t="inlineStr">
        <is>
          <t>James Wan</t>
        </is>
      </c>
      <c r="B51" s="5" t="inlineStr">
        <is>
          <t>Nicole Kidman</t>
        </is>
      </c>
      <c r="C51" s="5" t="inlineStr">
        <is>
          <t>Recent cast/attachments</t>
        </is>
      </c>
      <c r="D51" s="5" t="inlineStr">
        <is>
          <t>https://en.wikipedia.org/wiki/Aquaman_and_the_Lost_Kingdom</t>
        </is>
      </c>
    </row>
    <row r="52">
      <c r="A52" s="5" t="inlineStr">
        <is>
          <t>Ari Aster</t>
        </is>
      </c>
      <c r="B52" s="5" t="inlineStr">
        <is>
          <t>Joaquin Phoenix</t>
        </is>
      </c>
      <c r="C52" s="5" t="inlineStr">
        <is>
          <t>Recent cast/attachments</t>
        </is>
      </c>
      <c r="D52" s="5" t="inlineStr">
        <is>
          <t>https://en.wikipedia.org/wiki/Eddington_(film)</t>
        </is>
      </c>
    </row>
    <row r="53">
      <c r="A53" s="5" t="inlineStr">
        <is>
          <t>Ari Aster</t>
        </is>
      </c>
      <c r="B53" s="5" t="inlineStr">
        <is>
          <t>Pedro Pascal</t>
        </is>
      </c>
      <c r="C53" s="5" t="inlineStr">
        <is>
          <t>Recent cast/attachments</t>
        </is>
      </c>
      <c r="D53" s="5" t="inlineStr">
        <is>
          <t>https://en.wikipedia.org/wiki/Eddington_(film)</t>
        </is>
      </c>
    </row>
    <row r="54">
      <c r="A54" s="5" t="inlineStr">
        <is>
          <t>Ari Aster</t>
        </is>
      </c>
      <c r="B54" s="5" t="inlineStr">
        <is>
          <t>Emma Stone</t>
        </is>
      </c>
      <c r="C54" s="5" t="inlineStr">
        <is>
          <t>Recent cast/attachments</t>
        </is>
      </c>
      <c r="D54" s="5" t="inlineStr">
        <is>
          <t>https://en.wikipedia.org/wiki/Eddington_(film)</t>
        </is>
      </c>
    </row>
    <row r="55">
      <c r="A55" s="5" t="inlineStr">
        <is>
          <t>Ari Aster</t>
        </is>
      </c>
      <c r="B55" s="5" t="inlineStr">
        <is>
          <t>Austin Butler</t>
        </is>
      </c>
      <c r="C55" s="5" t="inlineStr">
        <is>
          <t>Recent cast/attachments</t>
        </is>
      </c>
      <c r="D55" s="5" t="inlineStr">
        <is>
          <t>https://en.wikipedia.org/wiki/Eddington_(film)</t>
        </is>
      </c>
    </row>
    <row r="56">
      <c r="A56" s="5" t="inlineStr">
        <is>
          <t>Robert Eggers</t>
        </is>
      </c>
      <c r="B56" s="5" t="inlineStr">
        <is>
          <t>Bill Skarsgård</t>
        </is>
      </c>
      <c r="C56" s="5" t="inlineStr">
        <is>
          <t>Recent cast/attachments</t>
        </is>
      </c>
      <c r="D56" s="5" t="inlineStr">
        <is>
          <t>https://en.wikipedia.org/wiki/Nosferatu_(2024_film)</t>
        </is>
      </c>
    </row>
    <row r="57">
      <c r="A57" s="5" t="inlineStr">
        <is>
          <t>Robert Eggers</t>
        </is>
      </c>
      <c r="B57" s="5" t="inlineStr">
        <is>
          <t>Nicholas Hoult</t>
        </is>
      </c>
      <c r="C57" s="5" t="inlineStr">
        <is>
          <t>Recent cast/attachments</t>
        </is>
      </c>
      <c r="D57" s="5" t="inlineStr">
        <is>
          <t>https://en.wikipedia.org/wiki/Nosferatu_(2024_film)</t>
        </is>
      </c>
    </row>
    <row r="58">
      <c r="A58" s="5" t="inlineStr">
        <is>
          <t>Robert Eggers</t>
        </is>
      </c>
      <c r="B58" s="5" t="inlineStr">
        <is>
          <t>Lily-Rose Depp</t>
        </is>
      </c>
      <c r="C58" s="5" t="inlineStr">
        <is>
          <t>Recent cast/attachments</t>
        </is>
      </c>
      <c r="D58" s="5" t="inlineStr">
        <is>
          <t>https://en.wikipedia.org/wiki/Nosferatu_(2024_film)</t>
        </is>
      </c>
    </row>
    <row r="59">
      <c r="A59" s="5" t="inlineStr">
        <is>
          <t>Robert Eggers</t>
        </is>
      </c>
      <c r="B59" s="5" t="inlineStr">
        <is>
          <t>Willem Dafoe</t>
        </is>
      </c>
      <c r="C59" s="5" t="inlineStr">
        <is>
          <t>Recent cast/attachments</t>
        </is>
      </c>
      <c r="D59" s="5" t="inlineStr">
        <is>
          <t>https://en.wikipedia.org/wiki/Nosferatu_(2024_film)</t>
        </is>
      </c>
    </row>
    <row r="60">
      <c r="A60" s="5" t="inlineStr">
        <is>
          <t>Robert Eggers</t>
        </is>
      </c>
      <c r="B60" s="5" t="inlineStr">
        <is>
          <t>Aaron Taylor-Johnson</t>
        </is>
      </c>
      <c r="C60" s="5" t="inlineStr">
        <is>
          <t>Recent cast/attachments</t>
        </is>
      </c>
      <c r="D60" s="5" t="inlineStr">
        <is>
          <t>https://en.wikipedia.org/wiki/Nosferatu_(2024_film)</t>
        </is>
      </c>
    </row>
    <row r="61">
      <c r="A61" s="5" t="inlineStr">
        <is>
          <t>Yorgos Lanthimos</t>
        </is>
      </c>
      <c r="B61" s="5" t="inlineStr">
        <is>
          <t>Emma Stone</t>
        </is>
      </c>
      <c r="C61" s="5" t="inlineStr">
        <is>
          <t>Recent cast/attachments</t>
        </is>
      </c>
      <c r="D61" s="5" t="inlineStr">
        <is>
          <t>https://en.wikipedia.org/wiki/Bugonia_(film)</t>
        </is>
      </c>
    </row>
    <row r="62">
      <c r="A62" s="5" t="inlineStr">
        <is>
          <t>Yorgos Lanthimos</t>
        </is>
      </c>
      <c r="B62" s="5" t="inlineStr">
        <is>
          <t>Jesse Plemons</t>
        </is>
      </c>
      <c r="C62" s="5" t="inlineStr">
        <is>
          <t>Recent cast/attachments</t>
        </is>
      </c>
      <c r="D62" s="5" t="inlineStr">
        <is>
          <t>https://en.wikipedia.org/wiki/Bugonia_(film)</t>
        </is>
      </c>
    </row>
    <row r="63">
      <c r="A63" s="5" t="inlineStr">
        <is>
          <t>Yorgos Lanthimos</t>
        </is>
      </c>
      <c r="B63" s="5" t="inlineStr">
        <is>
          <t>Mark Ruffalo</t>
        </is>
      </c>
      <c r="C63" s="5" t="inlineStr">
        <is>
          <t>Recent cast/attachments</t>
        </is>
      </c>
      <c r="D63" s="5" t="inlineStr">
        <is>
          <t>https://en.wikipedia.org/wiki/Bugonia_(film)</t>
        </is>
      </c>
    </row>
    <row r="64">
      <c r="A64" s="5" t="inlineStr">
        <is>
          <t>Yorgos Lanthimos</t>
        </is>
      </c>
      <c r="B64" s="5" t="inlineStr">
        <is>
          <t>Willem Dafoe</t>
        </is>
      </c>
      <c r="C64" s="5" t="inlineStr">
        <is>
          <t>Recent cast/attachments</t>
        </is>
      </c>
      <c r="D64" s="5" t="inlineStr">
        <is>
          <t>https://en.wikipedia.org/wiki/Bugonia_(film)</t>
        </is>
      </c>
    </row>
    <row r="65">
      <c r="A65" s="5" t="inlineStr">
        <is>
          <t>Damien Chazelle</t>
        </is>
      </c>
      <c r="B65" s="5" t="inlineStr">
        <is>
          <t>Brad Pitt</t>
        </is>
      </c>
      <c r="C65" s="5" t="inlineStr">
        <is>
          <t>Recent cast/attachments</t>
        </is>
      </c>
      <c r="D65" s="5" t="inlineStr">
        <is>
          <t>https://en.wikipedia.org/wiki/Babylon_(2022_film)</t>
        </is>
      </c>
    </row>
    <row r="66">
      <c r="A66" s="5" t="inlineStr">
        <is>
          <t>Damien Chazelle</t>
        </is>
      </c>
      <c r="B66" s="5" t="inlineStr">
        <is>
          <t>Margot Robbie</t>
        </is>
      </c>
      <c r="C66" s="5" t="inlineStr">
        <is>
          <t>Recent cast/attachments</t>
        </is>
      </c>
      <c r="D66" s="5" t="inlineStr">
        <is>
          <t>https://en.wikipedia.org/wiki/Babylon_(2022_film)</t>
        </is>
      </c>
    </row>
    <row r="67">
      <c r="A67" s="5" t="inlineStr">
        <is>
          <t>Damien Chazelle</t>
        </is>
      </c>
      <c r="B67" s="5" t="inlineStr">
        <is>
          <t>Daniel Craig</t>
        </is>
      </c>
      <c r="C67" s="5" t="inlineStr">
        <is>
          <t>Recent cast/attachments</t>
        </is>
      </c>
      <c r="D67" s="5" t="inlineStr">
        <is>
          <t>https://en.wikipedia.org/wiki/Babylon_(2022_film)</t>
        </is>
      </c>
    </row>
    <row r="68">
      <c r="A68" s="5" t="inlineStr">
        <is>
          <t>Damien Chazelle</t>
        </is>
      </c>
      <c r="B68" s="5" t="inlineStr">
        <is>
          <t>Cillian Murphy</t>
        </is>
      </c>
      <c r="C68" s="5" t="inlineStr">
        <is>
          <t>Recent cast/attachments</t>
        </is>
      </c>
      <c r="D68" s="5" t="inlineStr">
        <is>
          <t>https://en.wikipedia.org/wiki/Babylon_(2022_film)</t>
        </is>
      </c>
    </row>
    <row r="69">
      <c r="A69" s="5" t="inlineStr">
        <is>
          <t>Damien Chazelle</t>
        </is>
      </c>
      <c r="B69" s="5" t="inlineStr">
        <is>
          <t>Michelle Williams</t>
        </is>
      </c>
      <c r="C69" s="5" t="inlineStr">
        <is>
          <t>Recent cast/attachments</t>
        </is>
      </c>
      <c r="D69" s="5" t="inlineStr">
        <is>
          <t>https://en.wikipedia.org/wiki/Babylon_(2022_film)</t>
        </is>
      </c>
    </row>
    <row r="70">
      <c r="A70" s="5" t="inlineStr">
        <is>
          <t>Rian Johnson</t>
        </is>
      </c>
      <c r="B70" s="5" t="inlineStr">
        <is>
          <t>Daniel Craig</t>
        </is>
      </c>
      <c r="C70" s="5" t="inlineStr">
        <is>
          <t>Recent cast/attachments</t>
        </is>
      </c>
      <c r="D70" s="5" t="inlineStr">
        <is>
          <t>https://en.wikipedia.org/wiki/Wake_Up_Dead_Man</t>
        </is>
      </c>
    </row>
    <row r="71">
      <c r="A71" s="5" t="inlineStr">
        <is>
          <t>Rian Johnson</t>
        </is>
      </c>
      <c r="B71" s="5" t="inlineStr">
        <is>
          <t>Josh O'Connor</t>
        </is>
      </c>
      <c r="C71" s="5" t="inlineStr">
        <is>
          <t>Recent cast/attachments</t>
        </is>
      </c>
      <c r="D71" s="5" t="inlineStr">
        <is>
          <t>https://en.wikipedia.org/wiki/Wake_Up_Dead_Man</t>
        </is>
      </c>
    </row>
    <row r="72">
      <c r="A72" s="5" t="inlineStr">
        <is>
          <t>Rian Johnson</t>
        </is>
      </c>
      <c r="B72" s="5" t="inlineStr">
        <is>
          <t>Glenn Close</t>
        </is>
      </c>
      <c r="C72" s="5" t="inlineStr">
        <is>
          <t>Recent cast/attachments</t>
        </is>
      </c>
      <c r="D72" s="5" t="inlineStr">
        <is>
          <t>https://en.wikipedia.org/wiki/Wake_Up_Dead_Man</t>
        </is>
      </c>
    </row>
    <row r="73">
      <c r="A73" s="5" t="inlineStr">
        <is>
          <t>Rian Johnson</t>
        </is>
      </c>
      <c r="B73" s="5" t="inlineStr">
        <is>
          <t>Josh Brolin</t>
        </is>
      </c>
      <c r="C73" s="5" t="inlineStr">
        <is>
          <t>Recent cast/attachments</t>
        </is>
      </c>
      <c r="D73" s="5" t="inlineStr">
        <is>
          <t>https://en.wikipedia.org/wiki/Wake_Up_Dead_Man</t>
        </is>
      </c>
    </row>
    <row r="74">
      <c r="A74" s="5" t="inlineStr">
        <is>
          <t>Taika Waititi</t>
        </is>
      </c>
      <c r="B74" s="5" t="inlineStr">
        <is>
          <t>Michael Fassbender</t>
        </is>
      </c>
      <c r="C74" s="5" t="inlineStr">
        <is>
          <t>Recent cast/attachments</t>
        </is>
      </c>
      <c r="D74" s="5" t="inlineStr">
        <is>
          <t>https://en.wikipedia.org/wiki/Next_Goal_Wins_(2023_film)</t>
        </is>
      </c>
    </row>
    <row r="75">
      <c r="A75" s="5" t="inlineStr">
        <is>
          <t>Taika Waititi</t>
        </is>
      </c>
      <c r="B75" s="5" t="inlineStr">
        <is>
          <t>Jenna Ortega</t>
        </is>
      </c>
      <c r="C75" s="5" t="inlineStr">
        <is>
          <t>Recent cast/attachments</t>
        </is>
      </c>
      <c r="D75" s="5" t="inlineStr">
        <is>
          <t>https://en.wikipedia.org/wiki/Next_Goal_Wins_(2023_film)</t>
        </is>
      </c>
    </row>
    <row r="76">
      <c r="A76" s="5" t="inlineStr">
        <is>
          <t>Taika Waititi</t>
        </is>
      </c>
      <c r="B76" s="5" t="inlineStr">
        <is>
          <t>Amy Adams</t>
        </is>
      </c>
      <c r="C76" s="5" t="inlineStr">
        <is>
          <t>Recent cast/attachments</t>
        </is>
      </c>
      <c r="D76" s="5" t="inlineStr">
        <is>
          <t>https://en.wikipedia.org/wiki/Next_Goal_Wins_(2023_film)</t>
        </is>
      </c>
    </row>
    <row r="77">
      <c r="A77" s="5" t="inlineStr">
        <is>
          <t>Taika Waititi</t>
        </is>
      </c>
      <c r="B77" s="5" t="inlineStr">
        <is>
          <t>Steve Buscemi</t>
        </is>
      </c>
      <c r="C77" s="5" t="inlineStr">
        <is>
          <t>Recent cast/attachments</t>
        </is>
      </c>
      <c r="D77" s="5" t="inlineStr">
        <is>
          <t>https://en.wikipedia.org/wiki/Next_Goal_Wins_(2023_film)</t>
        </is>
      </c>
    </row>
    <row r="78">
      <c r="A78" s="5" t="inlineStr">
        <is>
          <t>Sam Mendes</t>
        </is>
      </c>
      <c r="B78" s="5" t="inlineStr">
        <is>
          <t>Paul Mescal</t>
        </is>
      </c>
      <c r="C78" s="5" t="inlineStr">
        <is>
          <t>Recent cast/attachments</t>
        </is>
      </c>
      <c r="D78" s="5" t="inlineStr">
        <is>
          <t>https://en.wikipedia.org/wiki/The_Beatles_%E2%80%93_A_Four-Film_Cinematic_Event</t>
        </is>
      </c>
    </row>
    <row r="79">
      <c r="A79" s="5" t="inlineStr">
        <is>
          <t>Sam Mendes</t>
        </is>
      </c>
      <c r="B79" s="5" t="inlineStr">
        <is>
          <t>Harris Dickinson</t>
        </is>
      </c>
      <c r="C79" s="5" t="inlineStr">
        <is>
          <t>Recent cast/attachments</t>
        </is>
      </c>
      <c r="D79" s="5" t="inlineStr">
        <is>
          <t>https://en.wikipedia.org/wiki/The_Beatles_%E2%80%93_A_Four-Film_Cinematic_Event</t>
        </is>
      </c>
    </row>
    <row r="80">
      <c r="A80" s="5" t="inlineStr">
        <is>
          <t>Sam Mendes</t>
        </is>
      </c>
      <c r="B80" s="5" t="inlineStr">
        <is>
          <t>Joseph Quinn</t>
        </is>
      </c>
      <c r="C80" s="5" t="inlineStr">
        <is>
          <t>Recent cast/attachments</t>
        </is>
      </c>
      <c r="D80" s="5" t="inlineStr">
        <is>
          <t>https://en.wikipedia.org/wiki/The_Beatles_%E2%80%93_A_Four-Film_Cinematic_Event</t>
        </is>
      </c>
    </row>
    <row r="81">
      <c r="A81" s="5" t="inlineStr">
        <is>
          <t>Sam Mendes</t>
        </is>
      </c>
      <c r="B81" s="5" t="inlineStr">
        <is>
          <t>Barry Keoghan</t>
        </is>
      </c>
      <c r="C81" s="5" t="inlineStr">
        <is>
          <t>Recent cast/attachments</t>
        </is>
      </c>
      <c r="D81" s="5" t="inlineStr">
        <is>
          <t>https://en.wikipedia.org/wiki/The_Beatles_%E2%80%93_A_Four-Film_Cinematic_Event</t>
        </is>
      </c>
    </row>
    <row r="82">
      <c r="A82" s="5" t="inlineStr">
        <is>
          <t>Ridley Scott</t>
        </is>
      </c>
      <c r="B82" s="5" t="inlineStr">
        <is>
          <t>Paul Mescal</t>
        </is>
      </c>
      <c r="C82" s="5" t="inlineStr">
        <is>
          <t>Recent cast/attachments</t>
        </is>
      </c>
      <c r="D82" s="5" t="inlineStr">
        <is>
          <t>https://en.wikipedia.org/wiki/Gladiator_II</t>
        </is>
      </c>
    </row>
    <row r="83">
      <c r="A83" s="5" t="inlineStr">
        <is>
          <t>Ridley Scott</t>
        </is>
      </c>
      <c r="B83" s="5" t="inlineStr">
        <is>
          <t>Pedro Pascal</t>
        </is>
      </c>
      <c r="C83" s="5" t="inlineStr">
        <is>
          <t>Recent cast/attachments</t>
        </is>
      </c>
      <c r="D83" s="5" t="inlineStr">
        <is>
          <t>https://en.wikipedia.org/wiki/Gladiator_II</t>
        </is>
      </c>
    </row>
    <row r="84">
      <c r="A84" s="5" t="inlineStr">
        <is>
          <t>Ridley Scott</t>
        </is>
      </c>
      <c r="B84" s="5" t="inlineStr">
        <is>
          <t>Denzel Washington</t>
        </is>
      </c>
      <c r="C84" s="5" t="inlineStr">
        <is>
          <t>Recent cast/attachments</t>
        </is>
      </c>
      <c r="D84" s="5" t="inlineStr">
        <is>
          <t>https://en.wikipedia.org/wiki/Gladiator_II</t>
        </is>
      </c>
    </row>
    <row r="85">
      <c r="A85" s="5" t="inlineStr">
        <is>
          <t>Ridley Scott</t>
        </is>
      </c>
      <c r="B85" s="5" t="inlineStr">
        <is>
          <t>Jacob Elordi</t>
        </is>
      </c>
      <c r="C85" s="5" t="inlineStr">
        <is>
          <t>Recent cast/attachments</t>
        </is>
      </c>
      <c r="D85" s="5" t="inlineStr">
        <is>
          <t>https://en.wikipedia.org/wiki/Gladiator_II</t>
        </is>
      </c>
    </row>
    <row r="86">
      <c r="A86" s="5" t="inlineStr">
        <is>
          <t>Martin Scorsese</t>
        </is>
      </c>
      <c r="B86" s="5" t="inlineStr">
        <is>
          <t>Leonardo DiCaprio</t>
        </is>
      </c>
      <c r="C86" s="5" t="inlineStr">
        <is>
          <t>Recent cast/attachments</t>
        </is>
      </c>
      <c r="D86" s="5" t="inlineStr">
        <is>
          <t>https://en.wikipedia.org/wiki/Killers_of_the_Flower_Moon_(film)</t>
        </is>
      </c>
    </row>
    <row r="87">
      <c r="A87" s="5" t="inlineStr">
        <is>
          <t>Martin Scorsese</t>
        </is>
      </c>
      <c r="B87" s="5" t="inlineStr">
        <is>
          <t>Robert De Niro</t>
        </is>
      </c>
      <c r="C87" s="5" t="inlineStr">
        <is>
          <t>Recent cast/attachments</t>
        </is>
      </c>
      <c r="D87" s="5" t="inlineStr">
        <is>
          <t>https://en.wikipedia.org/wiki/Killers_of_the_Flower_Moon_(film)</t>
        </is>
      </c>
    </row>
    <row r="88">
      <c r="A88" s="5" t="inlineStr">
        <is>
          <t>Martin Scorsese</t>
        </is>
      </c>
      <c r="B88" s="5" t="inlineStr">
        <is>
          <t>Jennifer Lawrence (next)</t>
        </is>
      </c>
      <c r="C88" s="5" t="inlineStr">
        <is>
          <t>Recent cast/attachments</t>
        </is>
      </c>
      <c r="D88" s="5" t="inlineStr">
        <is>
          <t>https://en.wikipedia.org/wiki/Killers_of_the_Flower_Moon_(film)</t>
        </is>
      </c>
    </row>
    <row r="89">
      <c r="A89" s="5" t="inlineStr">
        <is>
          <t>Guillermo del Toro</t>
        </is>
      </c>
      <c r="B89" s="5" t="inlineStr">
        <is>
          <t>Oscar Isaac</t>
        </is>
      </c>
      <c r="C89" s="5" t="inlineStr">
        <is>
          <t>Recent cast/attachments</t>
        </is>
      </c>
      <c r="D89" s="5" t="inlineStr">
        <is>
          <t>https://en.wikipedia.org/wiki/Frankenstein_(2025_film)</t>
        </is>
      </c>
    </row>
    <row r="90">
      <c r="A90" s="5" t="inlineStr">
        <is>
          <t>Guillermo del Toro</t>
        </is>
      </c>
      <c r="B90" s="5" t="inlineStr">
        <is>
          <t>Jacob Elordi</t>
        </is>
      </c>
      <c r="C90" s="5" t="inlineStr">
        <is>
          <t>Recent cast/attachments</t>
        </is>
      </c>
      <c r="D90" s="5" t="inlineStr">
        <is>
          <t>https://en.wikipedia.org/wiki/Frankenstein_(2025_film)</t>
        </is>
      </c>
    </row>
    <row r="91">
      <c r="A91" s="5" t="inlineStr">
        <is>
          <t>Guillermo del Toro</t>
        </is>
      </c>
      <c r="B91" s="5" t="inlineStr">
        <is>
          <t>Mia Goth</t>
        </is>
      </c>
      <c r="C91" s="5" t="inlineStr">
        <is>
          <t>Recent cast/attachments</t>
        </is>
      </c>
      <c r="D91" s="5" t="inlineStr">
        <is>
          <t>https://en.wikipedia.org/wiki/Frankenstein_(2025_film)</t>
        </is>
      </c>
    </row>
    <row r="92">
      <c r="A92" s="5" t="inlineStr">
        <is>
          <t>Guillermo del Toro</t>
        </is>
      </c>
      <c r="B92" s="5" t="inlineStr">
        <is>
          <t>Christoph Waltz</t>
        </is>
      </c>
      <c r="C92" s="5" t="inlineStr">
        <is>
          <t>Recent cast/attachments</t>
        </is>
      </c>
      <c r="D92" s="5" t="inlineStr">
        <is>
          <t>https://en.wikipedia.org/wiki/Frankenstein_(2025_film)</t>
        </is>
      </c>
    </row>
    <row r="93">
      <c r="A93" s="5" t="inlineStr">
        <is>
          <t>Bong Joon Ho</t>
        </is>
      </c>
      <c r="B93" s="5" t="inlineStr">
        <is>
          <t>Robert Pattinson</t>
        </is>
      </c>
      <c r="C93" s="5" t="inlineStr">
        <is>
          <t>Recent cast/attachments</t>
        </is>
      </c>
      <c r="D93" s="5" t="inlineStr">
        <is>
          <t>https://en.wikipedia.org/wiki/Mickey_17</t>
        </is>
      </c>
    </row>
    <row r="94">
      <c r="A94" s="5" t="inlineStr">
        <is>
          <t>Bong Joon Ho</t>
        </is>
      </c>
      <c r="B94" s="5" t="inlineStr">
        <is>
          <t>Naomi Ackie</t>
        </is>
      </c>
      <c r="C94" s="5" t="inlineStr">
        <is>
          <t>Recent cast/attachments</t>
        </is>
      </c>
      <c r="D94" s="5" t="inlineStr">
        <is>
          <t>https://en.wikipedia.org/wiki/Mickey_17</t>
        </is>
      </c>
    </row>
    <row r="95">
      <c r="A95" s="5" t="inlineStr">
        <is>
          <t>Bong Joon Ho</t>
        </is>
      </c>
      <c r="B95" s="5" t="inlineStr">
        <is>
          <t>Steven Yeun</t>
        </is>
      </c>
      <c r="C95" s="5" t="inlineStr">
        <is>
          <t>Recent cast/attachments</t>
        </is>
      </c>
      <c r="D95" s="5" t="inlineStr">
        <is>
          <t>https://en.wikipedia.org/wiki/Mickey_17</t>
        </is>
      </c>
    </row>
    <row r="96">
      <c r="A96" s="5" t="inlineStr">
        <is>
          <t>Bong Joon Ho</t>
        </is>
      </c>
      <c r="B96" s="5" t="inlineStr">
        <is>
          <t>Mark Ruffalo</t>
        </is>
      </c>
      <c r="C96" s="5" t="inlineStr">
        <is>
          <t>Recent cast/attachments</t>
        </is>
      </c>
      <c r="D96" s="5" t="inlineStr">
        <is>
          <t>https://en.wikipedia.org/wiki/Mickey_17</t>
        </is>
      </c>
    </row>
    <row r="97">
      <c r="A97" s="5" t="inlineStr">
        <is>
          <t>Chloé Zhao</t>
        </is>
      </c>
      <c r="B97" s="5" t="inlineStr">
        <is>
          <t>Jessie Buckley</t>
        </is>
      </c>
      <c r="C97" s="5" t="inlineStr">
        <is>
          <t>Recent cast/attachments</t>
        </is>
      </c>
      <c r="D97" s="5" t="inlineStr">
        <is>
          <t>https://en.wikipedia.org/wiki/Hamnet_(film)</t>
        </is>
      </c>
    </row>
    <row r="98">
      <c r="A98" s="5" t="inlineStr">
        <is>
          <t>Chloé Zhao</t>
        </is>
      </c>
      <c r="B98" s="5" t="inlineStr">
        <is>
          <t>Paul Mescal</t>
        </is>
      </c>
      <c r="C98" s="5" t="inlineStr">
        <is>
          <t>Recent cast/attachments</t>
        </is>
      </c>
      <c r="D98" s="5" t="inlineStr">
        <is>
          <t>https://en.wikipedia.org/wiki/Hamnet_(film)</t>
        </is>
      </c>
    </row>
    <row r="99">
      <c r="A99" s="5" t="inlineStr">
        <is>
          <t>Chloé Zhao</t>
        </is>
      </c>
      <c r="B99" s="5" t="inlineStr">
        <is>
          <t>Emily Watson</t>
        </is>
      </c>
      <c r="C99" s="5" t="inlineStr">
        <is>
          <t>Recent cast/attachments</t>
        </is>
      </c>
      <c r="D99" s="5" t="inlineStr">
        <is>
          <t>https://en.wikipedia.org/wiki/Hamnet_(film)</t>
        </is>
      </c>
    </row>
    <row r="100">
      <c r="A100" s="5" t="inlineStr">
        <is>
          <t>Barry Jenkins</t>
        </is>
      </c>
      <c r="B100" s="5" t="inlineStr">
        <is>
          <t>Aaron Pierre</t>
        </is>
      </c>
      <c r="C100" s="5" t="inlineStr">
        <is>
          <t>Recent cast/attachments</t>
        </is>
      </c>
      <c r="D100" s="5" t="inlineStr">
        <is>
          <t>https://en.wikipedia.org/wiki/Mufasa:_The_Lion_King</t>
        </is>
      </c>
    </row>
    <row r="101">
      <c r="A101" s="5" t="inlineStr">
        <is>
          <t>Barry Jenkins</t>
        </is>
      </c>
      <c r="B101" s="5" t="inlineStr">
        <is>
          <t>Kelvin Harrison Jr.</t>
        </is>
      </c>
      <c r="C101" s="5" t="inlineStr">
        <is>
          <t>Recent cast/attachments</t>
        </is>
      </c>
      <c r="D101" s="5" t="inlineStr">
        <is>
          <t>https://en.wikipedia.org/wiki/Mufasa:_The_Lion_King</t>
        </is>
      </c>
    </row>
    <row r="102">
      <c r="A102" s="5" t="inlineStr">
        <is>
          <t>Barry Jenkins</t>
        </is>
      </c>
      <c r="B102" s="5" t="inlineStr">
        <is>
          <t>Glen Powell (next)</t>
        </is>
      </c>
      <c r="C102" s="5" t="inlineStr">
        <is>
          <t>Recent cast/attachments</t>
        </is>
      </c>
      <c r="D102" s="5" t="inlineStr">
        <is>
          <t>https://en.wikipedia.org/wiki/Mufasa:_The_Lion_King</t>
        </is>
      </c>
    </row>
    <row r="103">
      <c r="A103" s="5" t="inlineStr">
        <is>
          <t>Steve McQueen</t>
        </is>
      </c>
      <c r="B103" s="5" t="inlineStr">
        <is>
          <t>Saoirse Ronan</t>
        </is>
      </c>
      <c r="C103" s="5" t="inlineStr">
        <is>
          <t>Recent cast/attachments</t>
        </is>
      </c>
      <c r="D103" s="5" t="inlineStr">
        <is>
          <t>https://en.wikipedia.org/wiki/Blitz_(2024_film)</t>
        </is>
      </c>
    </row>
    <row r="104">
      <c r="A104" s="5" t="inlineStr">
        <is>
          <t>Steve McQueen</t>
        </is>
      </c>
      <c r="B104" s="5" t="inlineStr">
        <is>
          <t>Harris Dickinson</t>
        </is>
      </c>
      <c r="C104" s="5" t="inlineStr">
        <is>
          <t>Recent cast/attachments</t>
        </is>
      </c>
      <c r="D104" s="5" t="inlineStr">
        <is>
          <t>https://en.wikipedia.org/wiki/Blitz_(2024_film)</t>
        </is>
      </c>
    </row>
    <row r="105">
      <c r="A105" s="5" t="inlineStr">
        <is>
          <t>Steve McQueen</t>
        </is>
      </c>
      <c r="B105" s="5" t="inlineStr">
        <is>
          <t>Stephen Graham</t>
        </is>
      </c>
      <c r="C105" s="5" t="inlineStr">
        <is>
          <t>Recent cast/attachments</t>
        </is>
      </c>
      <c r="D105" s="5" t="inlineStr">
        <is>
          <t>https://en.wikipedia.org/wiki/Blitz_(2024_film)</t>
        </is>
      </c>
    </row>
    <row r="106">
      <c r="A106" s="5" t="inlineStr">
        <is>
          <t>Emerald Fennell</t>
        </is>
      </c>
      <c r="B106" s="5" t="inlineStr">
        <is>
          <t>Barry Keoghan</t>
        </is>
      </c>
      <c r="C106" s="5" t="inlineStr">
        <is>
          <t>Recent cast/attachments</t>
        </is>
      </c>
      <c r="D106" s="5" t="inlineStr">
        <is>
          <t>https://en.wikipedia.org/wiki/Saltburn_(film)</t>
        </is>
      </c>
    </row>
    <row r="107">
      <c r="A107" s="5" t="inlineStr">
        <is>
          <t>Emerald Fennell</t>
        </is>
      </c>
      <c r="B107" s="5" t="inlineStr">
        <is>
          <t>Jacob Elordi</t>
        </is>
      </c>
      <c r="C107" s="5" t="inlineStr">
        <is>
          <t>Recent cast/attachments</t>
        </is>
      </c>
      <c r="D107" s="5" t="inlineStr">
        <is>
          <t>https://en.wikipedia.org/wiki/Saltburn_(film)</t>
        </is>
      </c>
    </row>
    <row r="108">
      <c r="A108" s="5" t="inlineStr">
        <is>
          <t>Emerald Fennell</t>
        </is>
      </c>
      <c r="B108" s="5" t="inlineStr">
        <is>
          <t>Margot Robbie (prod/star)</t>
        </is>
      </c>
      <c r="C108" s="5" t="inlineStr">
        <is>
          <t>Recent cast/attachments</t>
        </is>
      </c>
      <c r="D108" s="5" t="inlineStr">
        <is>
          <t>https://en.wikipedia.org/wiki/Saltburn_(film)</t>
        </is>
      </c>
    </row>
    <row r="109">
      <c r="A109" s="5" t="inlineStr">
        <is>
          <t>Shawn Levy</t>
        </is>
      </c>
      <c r="B109" s="5" t="inlineStr">
        <is>
          <t>Ryan Reynolds</t>
        </is>
      </c>
      <c r="C109" s="5" t="inlineStr">
        <is>
          <t>Recent cast/attachments</t>
        </is>
      </c>
      <c r="D109" s="5" t="inlineStr">
        <is>
          <t>https://en.wikipedia.org/wiki/Deadpool_%26_Wolverine</t>
        </is>
      </c>
    </row>
    <row r="110">
      <c r="A110" s="5" t="inlineStr">
        <is>
          <t>Shawn Levy</t>
        </is>
      </c>
      <c r="B110" s="5" t="inlineStr">
        <is>
          <t>Hugh Jackman</t>
        </is>
      </c>
      <c r="C110" s="5" t="inlineStr">
        <is>
          <t>Recent cast/attachments</t>
        </is>
      </c>
      <c r="D110" s="5" t="inlineStr">
        <is>
          <t>https://en.wikipedia.org/wiki/Deadpool_%26_Wolverine</t>
        </is>
      </c>
    </row>
    <row r="111">
      <c r="A111" s="5" t="inlineStr">
        <is>
          <t>Shawn Levy</t>
        </is>
      </c>
      <c r="B111" s="5" t="inlineStr">
        <is>
          <t>Ryan Gosling (Starfighter)</t>
        </is>
      </c>
      <c r="C111" s="5" t="inlineStr">
        <is>
          <t>Recent cast/attachments</t>
        </is>
      </c>
      <c r="D111" s="5" t="inlineStr">
        <is>
          <t>https://en.wikipedia.org/wiki/Deadpool_%26_Wolverine</t>
        </is>
      </c>
    </row>
    <row r="112">
      <c r="A112" s="5" t="inlineStr">
        <is>
          <t>Paul King</t>
        </is>
      </c>
      <c r="B112" s="5" t="inlineStr">
        <is>
          <t>Timothée Chalamet</t>
        </is>
      </c>
      <c r="C112" s="5" t="inlineStr">
        <is>
          <t>Recent cast/attachments</t>
        </is>
      </c>
      <c r="D112" s="5" t="inlineStr">
        <is>
          <t>https://en.wikipedia.org/wiki/Wonka_(film)</t>
        </is>
      </c>
    </row>
    <row r="113">
      <c r="A113" s="5" t="inlineStr">
        <is>
          <t>Paul King</t>
        </is>
      </c>
      <c r="B113" s="5" t="inlineStr">
        <is>
          <t>Olivia Colman</t>
        </is>
      </c>
      <c r="C113" s="5" t="inlineStr">
        <is>
          <t>Recent cast/attachments</t>
        </is>
      </c>
      <c r="D113" s="5" t="inlineStr">
        <is>
          <t>https://en.wikipedia.org/wiki/Wonka_(film)</t>
        </is>
      </c>
    </row>
    <row r="114">
      <c r="A114" s="5" t="inlineStr">
        <is>
          <t>Paul King</t>
        </is>
      </c>
      <c r="B114" s="5" t="inlineStr">
        <is>
          <t>Hugh Grant</t>
        </is>
      </c>
      <c r="C114" s="5" t="inlineStr">
        <is>
          <t>Recent cast/attachments</t>
        </is>
      </c>
      <c r="D114" s="5" t="inlineStr">
        <is>
          <t>https://en.wikipedia.org/wiki/Wonka_(film)</t>
        </is>
      </c>
    </row>
    <row r="115">
      <c r="A115" s="5" t="inlineStr">
        <is>
          <t>Patty Jenkins</t>
        </is>
      </c>
      <c r="B115" s="5" t="inlineStr">
        <is>
          <t>Gal Gadot</t>
        </is>
      </c>
      <c r="C115" s="5" t="inlineStr">
        <is>
          <t>Recent cast/attachments</t>
        </is>
      </c>
      <c r="D115" s="5" t="inlineStr">
        <is>
          <t>https://en.wikipedia.org/wiki/Wonder_Woman_1984</t>
        </is>
      </c>
    </row>
    <row r="116">
      <c r="A116" s="5" t="inlineStr">
        <is>
          <t>Patty Jenkins</t>
        </is>
      </c>
      <c r="B116" s="5" t="inlineStr">
        <is>
          <t>Chris Pine</t>
        </is>
      </c>
      <c r="C116" s="5" t="inlineStr">
        <is>
          <t>Recent cast/attachments</t>
        </is>
      </c>
      <c r="D116" s="5" t="inlineStr">
        <is>
          <t>https://en.wikipedia.org/wiki/Wonder_Woman_1984</t>
        </is>
      </c>
    </row>
    <row r="117">
      <c r="A117" s="5" t="inlineStr">
        <is>
          <t>Patty Jenkins</t>
        </is>
      </c>
      <c r="B117" s="5" t="inlineStr">
        <is>
          <t>Kristen Wiig</t>
        </is>
      </c>
      <c r="C117" s="5" t="inlineStr">
        <is>
          <t>Recent cast/attachments</t>
        </is>
      </c>
      <c r="D117" s="5" t="inlineStr">
        <is>
          <t>https://en.wikipedia.org/wiki/Wonder_Woman_1984</t>
        </is>
      </c>
    </row>
    <row r="118">
      <c r="A118" s="5" t="inlineStr">
        <is>
          <t>Patty Jenkins</t>
        </is>
      </c>
      <c r="B118" s="5" t="inlineStr">
        <is>
          <t>Pedro Pascal</t>
        </is>
      </c>
      <c r="C118" s="5" t="inlineStr">
        <is>
          <t>Recent cast/attachments</t>
        </is>
      </c>
      <c r="D118" s="5" t="inlineStr">
        <is>
          <t>https://en.wikipedia.org/wiki/Wonder_Woman_1984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9999961853027" customWidth="1" min="1" max="1"/>
    <col width="52.40000152587891" customWidth="1" min="2" max="2"/>
    <col width="42.5" customWidth="1" min="3" max="3"/>
    <col width="39.79999923706055" customWidth="1" min="4" max="4"/>
    <col width="55" customWidth="1" min="5" max="5"/>
    <col width="14" customWidth="1" min="6" max="6"/>
    <col width="55" customWidth="1" min="7" max="7"/>
    <col width="55" customWidth="1" min="8" max="8"/>
    <col width="55" customWidth="1" min="9" max="9"/>
  </cols>
  <sheetData>
    <row r="1" ht="28" customHeight="1">
      <c r="A1" s="4" t="inlineStr">
        <is>
          <t>Director</t>
        </is>
      </c>
      <c r="B1" s="4" t="inlineStr">
        <is>
          <t>NextProject</t>
        </is>
      </c>
      <c r="C1" s="4" t="inlineStr">
        <is>
          <t>NextRelease</t>
        </is>
      </c>
      <c r="D1" s="4" t="inlineStr">
        <is>
          <t>NextStatus</t>
        </is>
      </c>
      <c r="E1" s="4" t="inlineStr">
        <is>
          <t>Availability</t>
        </is>
      </c>
      <c r="F1" s="4" t="inlineStr">
        <is>
          <t>LastVerified</t>
        </is>
      </c>
      <c r="G1" s="4" t="inlineStr">
        <is>
          <t>Source1</t>
        </is>
      </c>
      <c r="H1" s="4" t="inlineStr">
        <is>
          <t>Source2</t>
        </is>
      </c>
      <c r="I1" s="4" t="inlineStr">
        <is>
          <t>Source3</t>
        </is>
      </c>
    </row>
    <row r="2">
      <c r="A2" s="5" t="inlineStr">
        <is>
          <t>Christopher Nolan</t>
        </is>
      </c>
      <c r="B2" s="5" t="inlineStr">
        <is>
          <t>The Odyssey</t>
        </is>
      </c>
      <c r="C2" s="5" t="inlineStr">
        <is>
          <t>Jul 17, 2026</t>
        </is>
      </c>
      <c r="D2" s="5" t="inlineStr">
        <is>
          <t>Scheduled / releasing</t>
        </is>
      </c>
      <c r="E2" s="5" t="inlineStr">
        <is>
          <t>Late 2026+ (post-release)</t>
        </is>
      </c>
      <c r="F2" s="6" t="n">
        <v>46051</v>
      </c>
      <c r="G2" s="5" t="inlineStr">
        <is>
          <t>https://www.the-numbers.com/person/106410401-Christopher-Nolan</t>
        </is>
      </c>
      <c r="H2" s="5" t="n"/>
      <c r="I2" s="5" t="n"/>
    </row>
    <row r="3">
      <c r="A3" s="5" t="inlineStr">
        <is>
          <t>Denis Villeneuve</t>
        </is>
      </c>
      <c r="B3" s="5" t="inlineStr">
        <is>
          <t>Dune: Messiah</t>
        </is>
      </c>
      <c r="C3" s="5" t="inlineStr">
        <is>
          <t>Dec 18, 2026</t>
        </is>
      </c>
      <c r="D3" s="5" t="inlineStr">
        <is>
          <t>Scheduled / releasing</t>
        </is>
      </c>
      <c r="E3" s="5" t="inlineStr">
        <is>
          <t>Very limited 2025–2026 (Bond/Dune pipeline)</t>
        </is>
      </c>
      <c r="F3" s="6" t="n">
        <v>46051</v>
      </c>
      <c r="G3" s="5" t="inlineStr">
        <is>
          <t>https://www.the-numbers.com/person/447440401-Denis-Villeneuve</t>
        </is>
      </c>
      <c r="H3" s="5" t="n"/>
      <c r="I3" s="5" t="n"/>
    </row>
    <row r="4">
      <c r="A4" s="5" t="inlineStr">
        <is>
          <t>Greta Gerwig</t>
        </is>
      </c>
      <c r="B4" s="5" t="inlineStr">
        <is>
          <t>Narnia</t>
        </is>
      </c>
      <c r="C4" s="5" t="inlineStr">
        <is>
          <t>2026</t>
        </is>
      </c>
      <c r="D4" s="5" t="inlineStr">
        <is>
          <t>Announced / in development</t>
        </is>
      </c>
      <c r="E4" s="5" t="inlineStr">
        <is>
          <t>Likely unavailable through 2026 (Narnia)</t>
        </is>
      </c>
      <c r="F4" s="6" t="n">
        <v>46051</v>
      </c>
      <c r="G4" s="5" t="inlineStr">
        <is>
          <t>https://www.the-numbers.com/person/54050401-Greta-Gerwig</t>
        </is>
      </c>
      <c r="H4" s="5" t="n"/>
      <c r="I4" s="5" t="n"/>
    </row>
    <row r="5">
      <c r="A5" s="5" t="inlineStr">
        <is>
          <t>Ryan Coogler</t>
        </is>
      </c>
      <c r="B5" s="5" t="inlineStr">
        <is>
          <t>Black Panther 3</t>
        </is>
      </c>
      <c r="C5" s="5" t="inlineStr">
        <is>
          <t>2028</t>
        </is>
      </c>
      <c r="D5" s="5" t="inlineStr">
        <is>
          <t>Announced / in development</t>
        </is>
      </c>
      <c r="E5" s="5" t="inlineStr">
        <is>
          <t>Likely limited while BP3 ramps</t>
        </is>
      </c>
      <c r="F5" s="6" t="n">
        <v>46051</v>
      </c>
      <c r="G5" s="5" t="inlineStr">
        <is>
          <t>https://www.the-numbers.com/person/339010401-Ryan-Coogler</t>
        </is>
      </c>
      <c r="H5" s="5" t="n"/>
      <c r="I5" s="5" t="n"/>
    </row>
    <row r="6">
      <c r="A6" s="5" t="inlineStr">
        <is>
          <t>James Gunn</t>
        </is>
      </c>
      <c r="B6" s="5" t="inlineStr">
        <is>
          <t>Man of Tomorrow</t>
        </is>
      </c>
      <c r="C6" s="5" t="inlineStr">
        <is>
          <t>Jul 9, 2027</t>
        </is>
      </c>
      <c r="D6" s="5" t="inlineStr">
        <is>
          <t>Scheduled / releasing</t>
        </is>
      </c>
      <c r="E6" s="5" t="inlineStr">
        <is>
          <t>Not available (DCU duties + 2026 shoot)</t>
        </is>
      </c>
      <c r="F6" s="6" t="n">
        <v>46051</v>
      </c>
      <c r="G6" s="5" t="inlineStr">
        <is>
          <t>https://www.the-numbers.com/person/59460401-James-Gunn</t>
        </is>
      </c>
      <c r="H6" s="5" t="n"/>
      <c r="I6" s="5" t="n"/>
    </row>
    <row r="7">
      <c r="A7" s="5" t="inlineStr">
        <is>
          <t>Matt Reeves</t>
        </is>
      </c>
      <c r="B7" s="5" t="n"/>
      <c r="C7" s="5" t="n"/>
      <c r="D7" s="5" t="n"/>
      <c r="E7" s="5" t="n"/>
      <c r="F7" s="6" t="n"/>
      <c r="G7" s="5" t="n"/>
      <c r="H7" s="5" t="n"/>
      <c r="I7" s="5" t="n"/>
    </row>
    <row r="8">
      <c r="A8" s="5" t="inlineStr">
        <is>
          <t>Christopher McQuarrie</t>
        </is>
      </c>
      <c r="B8" s="5" t="n"/>
      <c r="C8" s="5" t="n"/>
      <c r="D8" s="5" t="n"/>
      <c r="E8" s="5" t="n"/>
      <c r="F8" s="6" t="n"/>
      <c r="G8" s="5" t="n"/>
      <c r="H8" s="5" t="n"/>
      <c r="I8" s="5" t="n"/>
    </row>
    <row r="9">
      <c r="A9" s="5" t="inlineStr">
        <is>
          <t>Chad Stahelski</t>
        </is>
      </c>
      <c r="B9" s="5" t="n"/>
      <c r="C9" s="5" t="n"/>
      <c r="D9" s="5" t="n"/>
      <c r="E9" s="5" t="n"/>
      <c r="F9" s="6" t="n"/>
      <c r="G9" s="5" t="n"/>
      <c r="H9" s="5" t="n"/>
      <c r="I9" s="5" t="n"/>
    </row>
    <row r="10">
      <c r="A10" s="5" t="inlineStr">
        <is>
          <t>David Leitch</t>
        </is>
      </c>
      <c r="B10" s="5" t="n"/>
      <c r="C10" s="5" t="n"/>
      <c r="D10" s="5" t="n"/>
      <c r="E10" s="5" t="n"/>
      <c r="F10" s="6" t="n"/>
      <c r="G10" s="5" t="n"/>
      <c r="H10" s="5" t="n"/>
      <c r="I10" s="5" t="n"/>
    </row>
    <row r="11">
      <c r="A11" s="5" t="inlineStr">
        <is>
          <t>Joseph Kosinski</t>
        </is>
      </c>
      <c r="B11" s="5" t="n"/>
      <c r="C11" s="5" t="n"/>
      <c r="D11" s="5" t="n"/>
      <c r="E11" s="5" t="n"/>
      <c r="F11" s="6" t="n"/>
      <c r="G11" s="5" t="n"/>
      <c r="H11" s="5" t="n"/>
      <c r="I11" s="5" t="n"/>
    </row>
    <row r="12">
      <c r="A12" s="5" t="inlineStr">
        <is>
          <t>Jordan Peele</t>
        </is>
      </c>
      <c r="B12" s="5" t="n"/>
      <c r="C12" s="5" t="n"/>
      <c r="D12" s="5" t="n"/>
      <c r="E12" s="5" t="n"/>
      <c r="F12" s="6" t="n"/>
      <c r="G12" s="5" t="n"/>
      <c r="H12" s="5" t="n"/>
      <c r="I12" s="5" t="n"/>
    </row>
    <row r="13">
      <c r="A13" s="5" t="inlineStr">
        <is>
          <t>James Wan</t>
        </is>
      </c>
      <c r="B13" s="5" t="n"/>
      <c r="C13" s="5" t="n"/>
      <c r="D13" s="5" t="n"/>
      <c r="E13" s="5" t="n"/>
      <c r="F13" s="6" t="n"/>
      <c r="G13" s="5" t="n"/>
      <c r="H13" s="5" t="n"/>
      <c r="I13" s="5" t="n"/>
    </row>
    <row r="14">
      <c r="A14" s="5" t="inlineStr">
        <is>
          <t>Ari Aster</t>
        </is>
      </c>
      <c r="B14" s="5" t="n"/>
      <c r="C14" s="5" t="n"/>
      <c r="D14" s="5" t="n"/>
      <c r="E14" s="5" t="n"/>
      <c r="F14" s="6" t="n"/>
      <c r="G14" s="5" t="n"/>
      <c r="H14" s="5" t="n"/>
      <c r="I14" s="5" t="n"/>
    </row>
    <row r="15">
      <c r="A15" s="5" t="inlineStr">
        <is>
          <t>Robert Eggers</t>
        </is>
      </c>
      <c r="B15" s="5" t="n"/>
      <c r="C15" s="5" t="n"/>
      <c r="D15" s="5" t="n"/>
      <c r="E15" s="5" t="n"/>
      <c r="F15" s="6" t="n"/>
      <c r="G15" s="5" t="n"/>
      <c r="H15" s="5" t="n"/>
      <c r="I15" s="5" t="n"/>
    </row>
    <row r="16">
      <c r="A16" s="5" t="inlineStr">
        <is>
          <t>Yorgos Lanthimos</t>
        </is>
      </c>
      <c r="B16" s="5" t="n"/>
      <c r="C16" s="5" t="n"/>
      <c r="D16" s="5" t="n"/>
      <c r="E16" s="5" t="n"/>
      <c r="F16" s="6" t="n"/>
      <c r="G16" s="5" t="n"/>
      <c r="H16" s="5" t="n"/>
      <c r="I16" s="5" t="n"/>
    </row>
    <row r="17">
      <c r="A17" s="5" t="inlineStr">
        <is>
          <t>Damien Chazelle</t>
        </is>
      </c>
      <c r="B17" s="5" t="n"/>
      <c r="C17" s="5" t="n"/>
      <c r="D17" s="5" t="n"/>
      <c r="E17" s="5" t="n"/>
      <c r="F17" s="6" t="n"/>
      <c r="G17" s="5" t="n"/>
      <c r="H17" s="5" t="n"/>
      <c r="I17" s="5" t="n"/>
    </row>
    <row r="18">
      <c r="A18" s="5" t="inlineStr">
        <is>
          <t>Rian Johnson</t>
        </is>
      </c>
      <c r="B18" s="5" t="n"/>
      <c r="C18" s="5" t="n"/>
      <c r="D18" s="5" t="n"/>
      <c r="E18" s="5" t="n"/>
      <c r="F18" s="6" t="n"/>
      <c r="G18" s="5" t="n"/>
      <c r="H18" s="5" t="n"/>
      <c r="I18" s="5" t="n"/>
    </row>
    <row r="19">
      <c r="A19" s="5" t="inlineStr">
        <is>
          <t>Taika Waititi</t>
        </is>
      </c>
      <c r="B19" s="5" t="n"/>
      <c r="C19" s="5" t="n"/>
      <c r="D19" s="5" t="n"/>
      <c r="E19" s="5" t="n"/>
      <c r="F19" s="6" t="n"/>
      <c r="G19" s="5" t="n"/>
      <c r="H19" s="5" t="n"/>
      <c r="I19" s="5" t="n"/>
    </row>
    <row r="20">
      <c r="A20" s="5" t="inlineStr">
        <is>
          <t>Sam Mendes</t>
        </is>
      </c>
      <c r="B20" s="5" t="n"/>
      <c r="C20" s="5" t="n"/>
      <c r="D20" s="5" t="n"/>
      <c r="E20" s="5" t="n"/>
      <c r="F20" s="6" t="n"/>
      <c r="G20" s="5" t="n"/>
      <c r="H20" s="5" t="n"/>
      <c r="I20" s="5" t="n"/>
    </row>
    <row r="21">
      <c r="A21" s="5" t="inlineStr">
        <is>
          <t>Ridley Scott</t>
        </is>
      </c>
      <c r="B21" s="5" t="n"/>
      <c r="C21" s="5" t="n"/>
      <c r="D21" s="5" t="n"/>
      <c r="E21" s="5" t="n"/>
      <c r="F21" s="6" t="n"/>
      <c r="G21" s="5" t="n"/>
      <c r="H21" s="5" t="n"/>
      <c r="I21" s="5" t="n"/>
    </row>
    <row r="22">
      <c r="A22" s="5" t="inlineStr">
        <is>
          <t>Martin Scorsese</t>
        </is>
      </c>
      <c r="B22" s="5" t="n"/>
      <c r="C22" s="5" t="n"/>
      <c r="D22" s="5" t="n"/>
      <c r="E22" s="5" t="n"/>
      <c r="F22" s="6" t="n"/>
      <c r="G22" s="5" t="n"/>
      <c r="H22" s="5" t="n"/>
      <c r="I22" s="5" t="n"/>
    </row>
    <row r="23">
      <c r="A23" s="5" t="inlineStr">
        <is>
          <t>Guillermo del Toro</t>
        </is>
      </c>
      <c r="B23" s="5" t="n"/>
      <c r="C23" s="5" t="n"/>
      <c r="D23" s="5" t="n"/>
      <c r="E23" s="5" t="n"/>
      <c r="F23" s="6" t="n"/>
      <c r="G23" s="5" t="n"/>
      <c r="H23" s="5" t="n"/>
      <c r="I23" s="5" t="n"/>
    </row>
    <row r="24">
      <c r="A24" s="5" t="inlineStr">
        <is>
          <t>Bong Joon Ho</t>
        </is>
      </c>
      <c r="B24" s="5" t="n"/>
      <c r="C24" s="5" t="n"/>
      <c r="D24" s="5" t="n"/>
      <c r="E24" s="5" t="n"/>
      <c r="F24" s="6" t="n"/>
      <c r="G24" s="5" t="n"/>
      <c r="H24" s="5" t="n"/>
      <c r="I24" s="5" t="n"/>
    </row>
    <row r="25">
      <c r="A25" s="5" t="inlineStr">
        <is>
          <t>Chloé Zhao</t>
        </is>
      </c>
      <c r="B25" s="5" t="n"/>
      <c r="C25" s="5" t="n"/>
      <c r="D25" s="5" t="n"/>
      <c r="E25" s="5" t="n"/>
      <c r="F25" s="6" t="n"/>
      <c r="G25" s="5" t="n"/>
      <c r="H25" s="5" t="n"/>
      <c r="I25" s="5" t="n"/>
    </row>
    <row r="26">
      <c r="A26" s="5" t="inlineStr">
        <is>
          <t>Barry Jenkins</t>
        </is>
      </c>
      <c r="B26" s="5" t="n"/>
      <c r="C26" s="5" t="n"/>
      <c r="D26" s="5" t="n"/>
      <c r="E26" s="5" t="n"/>
      <c r="F26" s="6" t="n"/>
      <c r="G26" s="5" t="n"/>
      <c r="H26" s="5" t="n"/>
      <c r="I26" s="5" t="n"/>
    </row>
    <row r="27">
      <c r="A27" s="5" t="inlineStr">
        <is>
          <t>Steve McQueen</t>
        </is>
      </c>
      <c r="B27" s="5" t="n"/>
      <c r="C27" s="5" t="n"/>
      <c r="D27" s="5" t="n"/>
      <c r="E27" s="5" t="n"/>
      <c r="F27" s="6" t="n"/>
      <c r="G27" s="5" t="n"/>
      <c r="H27" s="5" t="n"/>
      <c r="I27" s="5" t="n"/>
    </row>
    <row r="28">
      <c r="A28" s="5" t="inlineStr">
        <is>
          <t>Emerald Fennell</t>
        </is>
      </c>
      <c r="B28" s="5" t="n"/>
      <c r="C28" s="5" t="n"/>
      <c r="D28" s="5" t="n"/>
      <c r="E28" s="5" t="n"/>
      <c r="F28" s="6" t="n"/>
      <c r="G28" s="5" t="n"/>
      <c r="H28" s="5" t="n"/>
      <c r="I28" s="5" t="n"/>
    </row>
    <row r="29">
      <c r="A29" s="5" t="inlineStr">
        <is>
          <t>Shawn Levy</t>
        </is>
      </c>
      <c r="B29" s="5" t="n"/>
      <c r="C29" s="5" t="n"/>
      <c r="D29" s="5" t="n"/>
      <c r="E29" s="5" t="n"/>
      <c r="F29" s="6" t="n"/>
      <c r="G29" s="5" t="n"/>
      <c r="H29" s="5" t="n"/>
      <c r="I29" s="5" t="n"/>
    </row>
    <row r="30">
      <c r="A30" s="5" t="inlineStr">
        <is>
          <t>Paul King</t>
        </is>
      </c>
      <c r="B30" s="5" t="n"/>
      <c r="C30" s="5" t="n"/>
      <c r="D30" s="5" t="n"/>
      <c r="E30" s="5" t="n"/>
      <c r="F30" s="6" t="n"/>
      <c r="G30" s="5" t="n"/>
      <c r="H30" s="5" t="n"/>
      <c r="I30" s="5" t="n"/>
    </row>
    <row r="31">
      <c r="A31" s="5" t="inlineStr">
        <is>
          <t>Patty Jenkins</t>
        </is>
      </c>
      <c r="B31" s="5" t="n"/>
      <c r="C31" s="5" t="n"/>
      <c r="D31" s="5" t="n"/>
      <c r="E31" s="5" t="n"/>
      <c r="F31" s="6" t="n"/>
      <c r="G31" s="5" t="n"/>
      <c r="H31" s="5" t="n"/>
      <c r="I31" s="5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16" customWidth="1" min="4" max="4"/>
    <col width="26" customWidth="1" min="5" max="5"/>
    <col width="18" customWidth="1" min="6" max="6"/>
    <col width="18" customWidth="1" min="7" max="7"/>
    <col width="18" customWidth="1" min="8" max="8"/>
    <col width="18" customWidth="1" min="9" max="9"/>
    <col width="10" customWidth="1" min="10" max="10"/>
    <col width="40" customWidth="1" min="11" max="11"/>
    <col width="35" customWidth="1" min="12" max="12"/>
    <col width="14" customWidth="1" min="13" max="13"/>
    <col width="12" customWidth="1" min="14" max="14"/>
  </cols>
  <sheetData>
    <row r="1">
      <c r="A1" s="16" t="inlineStr">
        <is>
          <t>Director</t>
        </is>
      </c>
      <c r="B1" s="16" t="inlineStr">
        <is>
          <t>CurrentCommitment</t>
        </is>
      </c>
      <c r="C1" s="16" t="inlineStr">
        <is>
          <t>CommitmentType</t>
        </is>
      </c>
      <c r="D1" s="16" t="inlineStr">
        <is>
          <t>CommitmentEndEst</t>
        </is>
      </c>
      <c r="E1" s="16" t="inlineStr">
        <is>
          <t>NextCommitment</t>
        </is>
      </c>
      <c r="F1" s="16" t="inlineStr">
        <is>
          <t>NextCommitmentStartEst</t>
        </is>
      </c>
      <c r="G1" s="16" t="inlineStr">
        <is>
          <t>NextCommitmentEndEst</t>
        </is>
      </c>
      <c r="H1" s="16" t="inlineStr">
        <is>
          <t>NextFreeWindowStart</t>
        </is>
      </c>
      <c r="I1" s="16" t="inlineStr">
        <is>
          <t>NextFreeWindowEnd</t>
        </is>
      </c>
      <c r="J1" s="16" t="inlineStr">
        <is>
          <t>Confidence</t>
        </is>
      </c>
      <c r="K1" s="16" t="inlineStr">
        <is>
          <t>Notes</t>
        </is>
      </c>
      <c r="L1" s="16" t="inlineStr">
        <is>
          <t>SourceURL</t>
        </is>
      </c>
      <c r="M1" s="16" t="inlineStr">
        <is>
          <t>LastVerified</t>
        </is>
      </c>
      <c r="N1" s="16" t="inlineStr">
        <is>
          <t>Owner</t>
        </is>
      </c>
    </row>
    <row r="2">
      <c r="A2" t="inlineStr">
        <is>
          <t>Christopher Nolan</t>
        </is>
      </c>
      <c r="B2" t="inlineStr">
        <is>
          <t>Late 2026+ (post-release)</t>
        </is>
      </c>
      <c r="J2" t="inlineStr">
        <is>
          <t>Med</t>
        </is>
      </c>
      <c r="M2" s="23" t="n">
        <v>46051</v>
      </c>
    </row>
    <row r="3">
      <c r="A3" t="inlineStr">
        <is>
          <t>Denis Villeneuve</t>
        </is>
      </c>
      <c r="B3" t="inlineStr">
        <is>
          <t>Very limited 2025–2026 (Bond/Dune pipeline)</t>
        </is>
      </c>
      <c r="J3" t="inlineStr">
        <is>
          <t>Med</t>
        </is>
      </c>
      <c r="M3" s="23" t="n">
        <v>46051</v>
      </c>
    </row>
    <row r="4">
      <c r="A4" t="inlineStr">
        <is>
          <t>Greta Gerwig</t>
        </is>
      </c>
      <c r="B4" t="inlineStr">
        <is>
          <t>Likely unavailable through 2026 (Narnia)</t>
        </is>
      </c>
      <c r="J4" t="inlineStr">
        <is>
          <t>Med</t>
        </is>
      </c>
      <c r="M4" s="23" t="n">
        <v>46051</v>
      </c>
    </row>
    <row r="5">
      <c r="A5" t="inlineStr">
        <is>
          <t>Ryan Coogler</t>
        </is>
      </c>
      <c r="B5" t="inlineStr">
        <is>
          <t>Likely limited while BP3 ramps</t>
        </is>
      </c>
      <c r="J5" t="inlineStr">
        <is>
          <t>Med</t>
        </is>
      </c>
      <c r="M5" s="23" t="n">
        <v>46051</v>
      </c>
    </row>
    <row r="6">
      <c r="A6" t="inlineStr">
        <is>
          <t>James Gunn</t>
        </is>
      </c>
      <c r="B6" t="inlineStr">
        <is>
          <t>Not available (DCU duties + 2026 shoot)</t>
        </is>
      </c>
      <c r="J6" t="inlineStr">
        <is>
          <t>High</t>
        </is>
      </c>
      <c r="M6" s="23" t="n">
        <v>46051</v>
      </c>
    </row>
    <row r="7">
      <c r="A7" t="inlineStr">
        <is>
          <t>Matt Reeves</t>
        </is>
      </c>
      <c r="B7" t="inlineStr">
        <is>
          <t>Limited (prep/production 2026)</t>
        </is>
      </c>
      <c r="J7" t="inlineStr">
        <is>
          <t>High</t>
        </is>
      </c>
      <c r="M7" s="23" t="n">
        <v>46051</v>
      </c>
    </row>
    <row r="8">
      <c r="A8" t="inlineStr">
        <is>
          <t>Christopher McQuarrie</t>
        </is>
      </c>
      <c r="B8" t="inlineStr">
        <is>
          <t>Unknown / likely selective</t>
        </is>
      </c>
      <c r="J8" t="inlineStr">
        <is>
          <t>Low</t>
        </is>
      </c>
      <c r="M8" s="23" t="n">
        <v>46051</v>
      </c>
    </row>
    <row r="9">
      <c r="A9" t="inlineStr">
        <is>
          <t>Chad Stahelski</t>
        </is>
      </c>
      <c r="B9" t="inlineStr">
        <is>
          <t>Limited (development for Highlander; possible JW commitments)</t>
        </is>
      </c>
      <c r="J9" t="inlineStr">
        <is>
          <t>Med</t>
        </is>
      </c>
      <c r="M9" s="23" t="n">
        <v>46051</v>
      </c>
    </row>
    <row r="10">
      <c r="A10" t="inlineStr">
        <is>
          <t>David Leitch</t>
        </is>
      </c>
      <c r="B10" t="inlineStr">
        <is>
          <t>Maybe late 2026 (depending on schedule)</t>
        </is>
      </c>
      <c r="J10" t="inlineStr">
        <is>
          <t>Low</t>
        </is>
      </c>
      <c r="M10" s="23" t="n">
        <v>46051</v>
      </c>
    </row>
    <row r="11">
      <c r="A11" t="inlineStr">
        <is>
          <t>Joseph Kosinski</t>
        </is>
      </c>
      <c r="B11" t="inlineStr">
        <is>
          <t>Unknown (development)</t>
        </is>
      </c>
      <c r="J11" t="inlineStr">
        <is>
          <t>Low</t>
        </is>
      </c>
      <c r="M11" s="23" t="n">
        <v>46051</v>
      </c>
    </row>
    <row r="12">
      <c r="A12" t="inlineStr">
        <is>
          <t>Jordan Peele</t>
        </is>
      </c>
      <c r="B12" t="inlineStr">
        <is>
          <t>Unknown; not locked to a public date</t>
        </is>
      </c>
      <c r="J12" t="inlineStr">
        <is>
          <t>Low</t>
        </is>
      </c>
      <c r="M12" s="23" t="n">
        <v>46051</v>
      </c>
    </row>
    <row r="13">
      <c r="A13" t="inlineStr">
        <is>
          <t>James Wan</t>
        </is>
      </c>
      <c r="B13" t="inlineStr">
        <is>
          <t>Unknown</t>
        </is>
      </c>
      <c r="J13" t="inlineStr">
        <is>
          <t>Low</t>
        </is>
      </c>
      <c r="M13" s="23" t="n">
        <v>46051</v>
      </c>
    </row>
    <row r="14">
      <c r="A14" t="inlineStr">
        <is>
          <t>Ari Aster</t>
        </is>
      </c>
      <c r="B14" t="inlineStr">
        <is>
          <t>Unknown</t>
        </is>
      </c>
      <c r="J14" t="inlineStr">
        <is>
          <t>Low</t>
        </is>
      </c>
      <c r="M14" s="23" t="n">
        <v>46051</v>
      </c>
    </row>
    <row r="15">
      <c r="A15" t="inlineStr">
        <is>
          <t>Robert Eggers</t>
        </is>
      </c>
      <c r="B15" t="inlineStr">
        <is>
          <t>Limited through 2026 (Werwulf)</t>
        </is>
      </c>
      <c r="J15" t="inlineStr">
        <is>
          <t>Med</t>
        </is>
      </c>
      <c r="M15" s="23" t="n">
        <v>46051</v>
      </c>
    </row>
    <row r="16">
      <c r="A16" t="inlineStr">
        <is>
          <t>Yorgos Lanthimos</t>
        </is>
      </c>
      <c r="B16" t="inlineStr">
        <is>
          <t>Unknown</t>
        </is>
      </c>
      <c r="J16" t="inlineStr">
        <is>
          <t>Low</t>
        </is>
      </c>
      <c r="M16" s="23" t="n">
        <v>46051</v>
      </c>
    </row>
    <row r="17">
      <c r="A17" t="inlineStr">
        <is>
          <t>Damien Chazelle</t>
        </is>
      </c>
      <c r="B17" t="inlineStr">
        <is>
          <t>Limited once in production</t>
        </is>
      </c>
      <c r="J17" t="inlineStr">
        <is>
          <t>Med</t>
        </is>
      </c>
      <c r="M17" s="23" t="n">
        <v>46051</v>
      </c>
    </row>
    <row r="18">
      <c r="A18" t="inlineStr">
        <is>
          <t>Rian Johnson</t>
        </is>
      </c>
      <c r="B18" t="inlineStr">
        <is>
          <t>Unknown</t>
        </is>
      </c>
      <c r="J18" t="inlineStr">
        <is>
          <t>Low</t>
        </is>
      </c>
      <c r="M18" s="23" t="n">
        <v>46051</v>
      </c>
    </row>
    <row r="19">
      <c r="A19" t="inlineStr">
        <is>
          <t>Taika Waititi</t>
        </is>
      </c>
      <c r="B19" t="inlineStr">
        <is>
          <t>Limited (2026 release pipeline)</t>
        </is>
      </c>
      <c r="J19" t="inlineStr">
        <is>
          <t>Med</t>
        </is>
      </c>
      <c r="M19" s="23" t="n">
        <v>46051</v>
      </c>
    </row>
    <row r="20">
      <c r="A20" t="inlineStr">
        <is>
          <t>Sam Mendes</t>
        </is>
      </c>
      <c r="B20" t="inlineStr">
        <is>
          <t>Likely locked 2026–2028</t>
        </is>
      </c>
      <c r="J20" t="inlineStr">
        <is>
          <t>Med</t>
        </is>
      </c>
      <c r="M20" s="23" t="n">
        <v>46051</v>
      </c>
    </row>
    <row r="21">
      <c r="A21" t="inlineStr">
        <is>
          <t>Ridley Scott</t>
        </is>
      </c>
      <c r="B21" t="inlineStr">
        <is>
          <t>Low (continuous pipeline)</t>
        </is>
      </c>
      <c r="J21" t="inlineStr">
        <is>
          <t>Med</t>
        </is>
      </c>
      <c r="M21" s="23" t="n">
        <v>46051</v>
      </c>
    </row>
    <row r="22">
      <c r="A22" t="inlineStr">
        <is>
          <t>Martin Scorsese</t>
        </is>
      </c>
      <c r="B22" t="inlineStr">
        <is>
          <t>Limited</t>
        </is>
      </c>
      <c r="J22" t="inlineStr">
        <is>
          <t>Med</t>
        </is>
      </c>
      <c r="M22" s="23" t="n">
        <v>46051</v>
      </c>
    </row>
    <row r="23">
      <c r="A23" t="inlineStr">
        <is>
          <t>Guillermo del Toro</t>
        </is>
      </c>
      <c r="B23" t="inlineStr">
        <is>
          <t>Unknown</t>
        </is>
      </c>
      <c r="J23" t="inlineStr">
        <is>
          <t>Low</t>
        </is>
      </c>
      <c r="M23" s="23" t="n">
        <v>46051</v>
      </c>
    </row>
    <row r="24">
      <c r="A24" t="inlineStr">
        <is>
          <t>Bong Joon Ho</t>
        </is>
      </c>
      <c r="B24" t="inlineStr">
        <is>
          <t>Low</t>
        </is>
      </c>
      <c r="J24" t="inlineStr">
        <is>
          <t>Low</t>
        </is>
      </c>
      <c r="M24" s="23" t="n">
        <v>46051</v>
      </c>
    </row>
    <row r="25">
      <c r="A25" t="inlineStr">
        <is>
          <t>Chloé Zhao</t>
        </is>
      </c>
      <c r="B25" t="inlineStr">
        <is>
          <t>Unknown</t>
        </is>
      </c>
      <c r="J25" t="inlineStr">
        <is>
          <t>Low</t>
        </is>
      </c>
      <c r="M25" s="23" t="n">
        <v>46051</v>
      </c>
    </row>
    <row r="26">
      <c r="A26" t="inlineStr">
        <is>
          <t>Barry Jenkins</t>
        </is>
      </c>
      <c r="B26" t="inlineStr">
        <is>
          <t>Unknown</t>
        </is>
      </c>
      <c r="J26" t="inlineStr">
        <is>
          <t>Low</t>
        </is>
      </c>
      <c r="M26" s="23" t="n">
        <v>46051</v>
      </c>
    </row>
    <row r="27">
      <c r="A27" t="inlineStr">
        <is>
          <t>Steve McQueen</t>
        </is>
      </c>
      <c r="B27" t="inlineStr">
        <is>
          <t>Unknown</t>
        </is>
      </c>
      <c r="J27" t="inlineStr">
        <is>
          <t>Low</t>
        </is>
      </c>
      <c r="M27" s="23" t="n">
        <v>46051</v>
      </c>
    </row>
    <row r="28">
      <c r="A28" t="inlineStr">
        <is>
          <t>Emerald Fennell</t>
        </is>
      </c>
      <c r="B28" t="inlineStr">
        <is>
          <t>Likely unavailable until after Feb 2026 release</t>
        </is>
      </c>
      <c r="J28" t="inlineStr">
        <is>
          <t>Med</t>
        </is>
      </c>
      <c r="M28" s="23" t="n">
        <v>46051</v>
      </c>
    </row>
    <row r="29">
      <c r="A29" t="inlineStr">
        <is>
          <t>Shawn Levy</t>
        </is>
      </c>
      <c r="B29" t="inlineStr">
        <is>
          <t>Low (post + follow-ups)</t>
        </is>
      </c>
      <c r="J29" t="inlineStr">
        <is>
          <t>Med</t>
        </is>
      </c>
      <c r="M29" s="23" t="n">
        <v>46051</v>
      </c>
    </row>
    <row r="30">
      <c r="A30" t="inlineStr">
        <is>
          <t>Paul King</t>
        </is>
      </c>
      <c r="B30" t="inlineStr">
        <is>
          <t>Unknown</t>
        </is>
      </c>
      <c r="J30" t="inlineStr">
        <is>
          <t>Low</t>
        </is>
      </c>
      <c r="M30" s="23" t="n">
        <v>46051</v>
      </c>
    </row>
    <row r="31">
      <c r="A31" t="inlineStr">
        <is>
          <t>Patty Jenkins</t>
        </is>
      </c>
      <c r="B31" t="inlineStr">
        <is>
          <t>Unknown</t>
        </is>
      </c>
      <c r="J31" t="inlineStr">
        <is>
          <t>Low</t>
        </is>
      </c>
      <c r="M31" s="23" t="n">
        <v>46051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2026-01-29T21:48:37Z</dcterms:created>
  <dcterms:modified xmlns:dcterms="http://purl.org/dc/terms/" xmlns:xsi="http://www.w3.org/2001/XMLSchema-instance" xsi:type="dcterms:W3CDTF">2026-01-29T22:13:33Z</dcterms:modified>
</cp:coreProperties>
</file>